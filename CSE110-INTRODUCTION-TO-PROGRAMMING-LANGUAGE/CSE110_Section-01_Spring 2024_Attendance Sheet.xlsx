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ynamicReport" sheetId="1" r:id="rId4"/>
    <sheet state="hidden" name="Info" sheetId="2" r:id="rId5"/>
  </sheets>
  <definedNames/>
  <calcPr/>
  <extLst>
    <ext uri="GoogleSheetsCustomDataVersion2">
      <go:sheetsCustomData xmlns:go="http://customooxmlschemas.google.com/" r:id="rId6" roundtripDataChecksum="wPob6MQ93Qjmmsl6hrzGhWC3HTNJbJq6Rx1dur4seEc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10">
      <text>
        <t xml:space="preserve">======
ID#AAABHDKemVI
Md. Sabbir Ahmed    (2024-03-13 09:22:10)
Dropped semester</t>
      </text>
    </comment>
  </commentList>
  <extLst>
    <ext uri="GoogleSheetsCustomDataVersion2">
      <go:sheetsCustomData xmlns:go="http://customooxmlschemas.google.com/" r:id="rId1" roundtripDataSignature="AMtx7mh9yUezxWl09w2eZ95gUuh2vxBpxg=="/>
    </ext>
  </extLst>
</comments>
</file>

<file path=xl/sharedStrings.xml><?xml version="1.0" encoding="utf-8"?>
<sst xmlns="http://schemas.openxmlformats.org/spreadsheetml/2006/main" count="546" uniqueCount="331">
  <si>
    <t>STUDENT DAILY ATTENDANCE SHEET
Semester :Spring 2024
Course Title :PROGRAMMING LANGUAGE I
Course ID  : CSE110
Section :  01
Faculty :Md. Sabbir Ahmed (SBB)</t>
  </si>
  <si>
    <t>SL</t>
  </si>
  <si>
    <t>ID</t>
  </si>
  <si>
    <t>Name</t>
  </si>
  <si>
    <t>Gsuite Email</t>
  </si>
  <si>
    <t>Total Absent</t>
  </si>
  <si>
    <t>21301748</t>
  </si>
  <si>
    <t>FAISAL AHMED FAHIM</t>
  </si>
  <si>
    <t/>
  </si>
  <si>
    <t>23201594</t>
  </si>
  <si>
    <t>RATUL HASAN SHUVO</t>
  </si>
  <si>
    <t>24101020</t>
  </si>
  <si>
    <t>TASFIQUL ISLAM TARIF</t>
  </si>
  <si>
    <t>24101022</t>
  </si>
  <si>
    <t>NUSAIBA NUSRAT ZAMAN</t>
  </si>
  <si>
    <t>24101025</t>
  </si>
  <si>
    <t>MD. ADIL AHANAF SHAWCHO</t>
  </si>
  <si>
    <t>24101026</t>
  </si>
  <si>
    <t xml:space="preserve">TADLINE KABIR </t>
  </si>
  <si>
    <t>24101028</t>
  </si>
  <si>
    <t>RIDWANUR RAHMAN SAAD</t>
  </si>
  <si>
    <t>24101042</t>
  </si>
  <si>
    <t>SADIA RAHMAN SUPTY</t>
  </si>
  <si>
    <t>24101043</t>
  </si>
  <si>
    <t>MD ABU NOMAN KABBO</t>
  </si>
  <si>
    <t>24101045</t>
  </si>
  <si>
    <t xml:space="preserve">SHABNOOM TAYAMMUM </t>
  </si>
  <si>
    <t>24101046</t>
  </si>
  <si>
    <t>MD. FAISAL ISLAM CHOWDHURY</t>
  </si>
  <si>
    <t>24101048</t>
  </si>
  <si>
    <t>TANHA AHMED</t>
  </si>
  <si>
    <t>24101050</t>
  </si>
  <si>
    <t>MAIMONA AKTER SARA</t>
  </si>
  <si>
    <t>24101051</t>
  </si>
  <si>
    <t>MD.ABID HASAN</t>
  </si>
  <si>
    <t>24101053</t>
  </si>
  <si>
    <t>ZAFRIN ZAMAN</t>
  </si>
  <si>
    <t>24101095</t>
  </si>
  <si>
    <t>SADIA AHMED RAISA</t>
  </si>
  <si>
    <t>24101096</t>
  </si>
  <si>
    <t>MD. ATIQUE-UR-RAHMAN BHUIYAN</t>
  </si>
  <si>
    <t>24101097</t>
  </si>
  <si>
    <t>SHAKIL ANWAR SAYEM</t>
  </si>
  <si>
    <t>24101098</t>
  </si>
  <si>
    <t>AFRA ANJUM RAHMAN</t>
  </si>
  <si>
    <t>24101216</t>
  </si>
  <si>
    <t>FATIMAH MIAZI</t>
  </si>
  <si>
    <t>24101220</t>
  </si>
  <si>
    <t>NAJIBAH GALIB NUDAR</t>
  </si>
  <si>
    <t>24101224</t>
  </si>
  <si>
    <t>JOY KUMER TARAFDER</t>
  </si>
  <si>
    <t>24101225</t>
  </si>
  <si>
    <t>RAHIB KIBRIA CHOUDHURY</t>
  </si>
  <si>
    <t>24101226</t>
  </si>
  <si>
    <t>MEHEDI HASAN ROWDRO</t>
  </si>
  <si>
    <t>24101228</t>
  </si>
  <si>
    <t>MAHIR SHAHARIUR</t>
  </si>
  <si>
    <t>24101229</t>
  </si>
  <si>
    <t>SADMAN SAKIB</t>
  </si>
  <si>
    <t>24101242</t>
  </si>
  <si>
    <t>ARYSHA ZAMAN</t>
  </si>
  <si>
    <t>24101245</t>
  </si>
  <si>
    <t>TASKIN SAADMAN</t>
  </si>
  <si>
    <t>24101249</t>
  </si>
  <si>
    <t>MST. HOMAIRA ZAMAN ROSHNI</t>
  </si>
  <si>
    <t>24101250</t>
  </si>
  <si>
    <t>KHONDAKER SHARJEEL ISLAM</t>
  </si>
  <si>
    <t>24101384</t>
  </si>
  <si>
    <t>RIFA SHANJIDA ADHORA</t>
  </si>
  <si>
    <t>24101408</t>
  </si>
  <si>
    <t>LABIBA AFZAL</t>
  </si>
  <si>
    <t>24101511</t>
  </si>
  <si>
    <t>SAFWAN ISLAM</t>
  </si>
  <si>
    <t>24101579</t>
  </si>
  <si>
    <t>MUSHFIQ SHAHARIAR</t>
  </si>
  <si>
    <t>24101629</t>
  </si>
  <si>
    <t>M.H. SAKLINE SHAFIQ</t>
  </si>
  <si>
    <t>24101646</t>
  </si>
  <si>
    <t>SAZID HASSAN ALVY</t>
  </si>
  <si>
    <t>24101675</t>
  </si>
  <si>
    <t>NAFIS MASRUR ISLAM</t>
  </si>
  <si>
    <t>24141016</t>
  </si>
  <si>
    <t>TASNIM RAMJAN</t>
  </si>
  <si>
    <t xml:space="preserve">Total </t>
  </si>
  <si>
    <t>23101433</t>
  </si>
  <si>
    <t>MORSHEDUR RAHMAN</t>
  </si>
  <si>
    <t>Timestamp</t>
  </si>
  <si>
    <t>Email Address</t>
  </si>
  <si>
    <t>Student ID</t>
  </si>
  <si>
    <t>Full Name</t>
  </si>
  <si>
    <t>Gsuite Email (ends with @g.bracu.ac.bd)</t>
  </si>
  <si>
    <t>Your Hobby/Any skill that you are good at</t>
  </si>
  <si>
    <t>Hometown</t>
  </si>
  <si>
    <t>Why CSE/CS?</t>
  </si>
  <si>
    <t>Your expectation from CSE110 course?</t>
  </si>
  <si>
    <t>taskin.saadman@g.bracu.ac.bd</t>
  </si>
  <si>
    <t>Taskin Saadman</t>
  </si>
  <si>
    <t>Problem-solving</t>
  </si>
  <si>
    <t>B.baria</t>
  </si>
  <si>
    <t>" AI is the future "</t>
  </si>
  <si>
    <t>A cooperative learning atmosphere</t>
  </si>
  <si>
    <t>adil.ahanaf.shawcho@g.bracu.ac.bd</t>
  </si>
  <si>
    <t xml:space="preserve">Md. Adil Ahanaf Shawcho </t>
  </si>
  <si>
    <t>Rapping urdu songs 
writing poems and short stories</t>
  </si>
  <si>
    <t xml:space="preserve">Rajshahi </t>
  </si>
  <si>
    <t>Because of a higher chance of solving coding related problems</t>
  </si>
  <si>
    <t>Learning the basics of CSE</t>
  </si>
  <si>
    <t>shahariurdihan17@gmail.com</t>
  </si>
  <si>
    <t>Mahir Shahariur</t>
  </si>
  <si>
    <t>mahir.shahariur@g.bracu.ac.bd</t>
  </si>
  <si>
    <t>Football</t>
  </si>
  <si>
    <t xml:space="preserve">Rangpur </t>
  </si>
  <si>
    <t>CSE</t>
  </si>
  <si>
    <t>I hope i’d be able to learn the fundamentals of coding</t>
  </si>
  <si>
    <t>sadman4341@gmail.com</t>
  </si>
  <si>
    <t xml:space="preserve">Sadman Sakib </t>
  </si>
  <si>
    <t>Sadman.sakib19@g.bracu.ac.bd</t>
  </si>
  <si>
    <t>Photography and videography</t>
  </si>
  <si>
    <t xml:space="preserve">Mymensingh </t>
  </si>
  <si>
    <t>I would like to know more how computer science works so that I can use that to my advantage to make things and breakdown things. Knowing about computer science will help me deal with data and help structure the data better.</t>
  </si>
  <si>
    <t>kabstudy2023@gmail.com</t>
  </si>
  <si>
    <t>MD Abu Noman Kabbo</t>
  </si>
  <si>
    <t>abu.noman.kabbo@g.bracu.ac.bd</t>
  </si>
  <si>
    <t>Cooking</t>
  </si>
  <si>
    <t xml:space="preserve">Sariatpur </t>
  </si>
  <si>
    <t>Always wanted to learn how it worked, so I can say it is a byproduct of curiosity.</t>
  </si>
  <si>
    <t>To help me in future endeavours.</t>
  </si>
  <si>
    <t>ratul.hasan.shuvo@g.bracu.ac.bd</t>
  </si>
  <si>
    <t xml:space="preserve">Ratul Hasan Shuvo </t>
  </si>
  <si>
    <t xml:space="preserve">Gaming </t>
  </si>
  <si>
    <t>Satkhira</t>
  </si>
  <si>
    <t xml:space="preserve">Find interesting </t>
  </si>
  <si>
    <t xml:space="preserve">To Clarify the basic idea about CSE </t>
  </si>
  <si>
    <t>khondaker.sharjeel.islam@g.bracu.ac.bd</t>
  </si>
  <si>
    <t>Khondaker Sharjeel Islam</t>
  </si>
  <si>
    <t>Dhaka</t>
  </si>
  <si>
    <t>To be a software engineer.</t>
  </si>
  <si>
    <t>To learn programming languages such as Java and Python.</t>
  </si>
  <si>
    <t>afra.anjum.rahman@g.bracu.ac.bd</t>
  </si>
  <si>
    <t xml:space="preserve">Afra Anjum Rahman </t>
  </si>
  <si>
    <t xml:space="preserve">Afra.anjum.rahman@g.bracu.ac.bd </t>
  </si>
  <si>
    <t xml:space="preserve">Baking, arts </t>
  </si>
  <si>
    <t xml:space="preserve">For my parents </t>
  </si>
  <si>
    <t xml:space="preserve"> To learn about programming </t>
  </si>
  <si>
    <t>nusaibanusratzaman@gmail.com</t>
  </si>
  <si>
    <t xml:space="preserve">Nusaiba Nusrat Zaman </t>
  </si>
  <si>
    <t>nusaiba.nusrat.zaman@g.bracu.ac.bd</t>
  </si>
  <si>
    <t xml:space="preserve">Craft, writing, poem reciting, extempore speech </t>
  </si>
  <si>
    <t xml:space="preserve">Chapai Nawabganj </t>
  </si>
  <si>
    <t xml:space="preserve">Because I wanted to learn about software development </t>
  </si>
  <si>
    <t xml:space="preserve">To learn software development and coding </t>
  </si>
  <si>
    <t>mehedihasan.roudrooo@gmail.com</t>
  </si>
  <si>
    <t>Mehedi Hasan Rowdro</t>
  </si>
  <si>
    <t>mehedi.hasan.rowdro@g.bracu.ac.bd</t>
  </si>
  <si>
    <t xml:space="preserve">Music. I can play guitar. </t>
  </si>
  <si>
    <t>Tangail</t>
  </si>
  <si>
    <t xml:space="preserve">In the end of CSE110 I am hoping to get to know the basics about programming languages. </t>
  </si>
  <si>
    <t>safwan.islam1@g.bracu.ac.bd</t>
  </si>
  <si>
    <t xml:space="preserve">Safwan Islam </t>
  </si>
  <si>
    <t>Naogaon</t>
  </si>
  <si>
    <t xml:space="preserve">Because CSE has a vast field &amp; will create huge opportunities </t>
  </si>
  <si>
    <t>A good foundation in Javascript &amp; problem solving</t>
  </si>
  <si>
    <t>sazidbrac@gmail.com</t>
  </si>
  <si>
    <t>Sazid Hassan Alvy</t>
  </si>
  <si>
    <t>sazid.hassan.alvy@g.bracu.ac.bd</t>
  </si>
  <si>
    <t>Music</t>
  </si>
  <si>
    <t xml:space="preserve">Madaripur </t>
  </si>
  <si>
    <t xml:space="preserve">I wanna go for remote jobs </t>
  </si>
  <si>
    <t xml:space="preserve">Knowing the basic form of cse and kickstart from here. </t>
  </si>
  <si>
    <t>najibah.galib.nudar@g.bracu.ac.bd</t>
  </si>
  <si>
    <t>Najibah Galib Nudar</t>
  </si>
  <si>
    <t>Driving</t>
  </si>
  <si>
    <t>Chittagong</t>
  </si>
  <si>
    <t xml:space="preserve">I felt I had the potential of majoring this subject for my bachelors from the beginning. </t>
  </si>
  <si>
    <t>Learning something new everyday with the same excitement of day 01 till the end</t>
  </si>
  <si>
    <t>atiqueurrahmanbhuiyan63@gmail.com</t>
  </si>
  <si>
    <t>Md. Atique-Ur-Rahman Bhuiyan</t>
  </si>
  <si>
    <t>atique.ur.rahman@g.bracu.ac.bd</t>
  </si>
  <si>
    <t>Playing Football I guess.</t>
  </si>
  <si>
    <t>Kishoreganj,Dhaka</t>
  </si>
  <si>
    <t>Because learning coding explores excitement and new challenges</t>
  </si>
  <si>
    <t>Myb we can cover the basics of JavaScript from it.</t>
  </si>
  <si>
    <t>shakil.anwar.sayem@g.bracu.ac.bd</t>
  </si>
  <si>
    <t>Reading books</t>
  </si>
  <si>
    <t>Natore</t>
  </si>
  <si>
    <t>Because I'm interested in Coding.</t>
  </si>
  <si>
    <t>Best.</t>
  </si>
  <si>
    <t>saadridwanurrahman@gmail.com</t>
  </si>
  <si>
    <t>Ridwanur Rahman Saad</t>
  </si>
  <si>
    <t>ridwanur.rahman.saad@g.bracu.ac.bd</t>
  </si>
  <si>
    <t>Gaming</t>
  </si>
  <si>
    <t>Faridpur</t>
  </si>
  <si>
    <t>I like programming related stuff.</t>
  </si>
  <si>
    <t>Developing a stronger foundation for future learning.</t>
  </si>
  <si>
    <t>tasnimramjan95@gmail.com</t>
  </si>
  <si>
    <t xml:space="preserve">Tasnim Ramjan </t>
  </si>
  <si>
    <t>tasnim.ramjan@g.bracu.ac.bd</t>
  </si>
  <si>
    <t>Savar</t>
  </si>
  <si>
    <t xml:space="preserve"> </t>
  </si>
  <si>
    <t xml:space="preserve">to start learning the basic concepts of computer science </t>
  </si>
  <si>
    <t>zafrin.proma@gmail.com</t>
  </si>
  <si>
    <t>Zafrin Zaman</t>
  </si>
  <si>
    <t>zafrin.zaman@g.bracu.ac.bd</t>
  </si>
  <si>
    <t>Khulna</t>
  </si>
  <si>
    <t>A CSE profession will allow me to learn new things constantly .As technology expands ,AI and Robotics become essential parts of our daily lives .</t>
  </si>
  <si>
    <t xml:space="preserve">My expectation from this course is the basic of programming </t>
  </si>
  <si>
    <t>tanhaahmed0000@gmail.com</t>
  </si>
  <si>
    <t>Tanha Ahmed</t>
  </si>
  <si>
    <t>tanha.ahmed@g.bracu.ac.bd</t>
  </si>
  <si>
    <t xml:space="preserve">Sleeping </t>
  </si>
  <si>
    <t>Mymensingh</t>
  </si>
  <si>
    <t xml:space="preserve">Passion </t>
  </si>
  <si>
    <t>To understand the basics and to achieve skills</t>
  </si>
  <si>
    <t>faisalfahim90@gmail.com</t>
  </si>
  <si>
    <t>faisal.ahmed.fahim@g.bracu.ac.bd</t>
  </si>
  <si>
    <t xml:space="preserve">My hobby is fixing things like computer, mobile and other electronic devices. I can design a website with WordPress platform. </t>
  </si>
  <si>
    <t xml:space="preserve">I want to learn advance form of computing as well have the best opportunity to grow my skill. </t>
  </si>
  <si>
    <t xml:space="preserve">My expectations from CSE110 is to build up my basic knowledge about computer science. </t>
  </si>
  <si>
    <t>prarona456@gmail.com</t>
  </si>
  <si>
    <t xml:space="preserve">Shabnoom Tayammum </t>
  </si>
  <si>
    <t>shabnoom.tayammum@g.bracu.ac.bd</t>
  </si>
  <si>
    <t xml:space="preserve">Brahmanbaria </t>
  </si>
  <si>
    <t xml:space="preserve">I want to be a software engineer that's why i choose CSE </t>
  </si>
  <si>
    <t>I think I'll get a clear idea and basics of cse(coding etc). CSE110 will help in further courses of CSE.</t>
  </si>
  <si>
    <t>saramymona@gmail.com</t>
  </si>
  <si>
    <t>Maimona akter sara</t>
  </si>
  <si>
    <t>maimona.akter.sara@g.bracu.ac.bd</t>
  </si>
  <si>
    <t xml:space="preserve">It will make my skills better </t>
  </si>
  <si>
    <t>tasfiqul7703@gmail.com</t>
  </si>
  <si>
    <t>Tasfiqul Islam</t>
  </si>
  <si>
    <t>tasfiqul.islam.tarif@g.bracu.ac.bd</t>
  </si>
  <si>
    <t>Facebook Ad
Learning new things
Stock market</t>
  </si>
  <si>
    <t>brahmanbaria</t>
  </si>
  <si>
    <t xml:space="preserve">I Want to establish/ Work with SAAS/Tech giant company Also I am highly interested in IT sector </t>
  </si>
  <si>
    <t>I expect to gain a good understanding of fundamental computer science concepts, improve my coding skills, and develop problem-solving abilities</t>
  </si>
  <si>
    <t>sadia.rahman.supty@g.bracu.ac.bd</t>
  </si>
  <si>
    <t>Sadia Rahman Supty</t>
  </si>
  <si>
    <t xml:space="preserve">Graphic designing </t>
  </si>
  <si>
    <t xml:space="preserve">Faridpur </t>
  </si>
  <si>
    <t xml:space="preserve">I’m eager to know more about computer science and technology </t>
  </si>
  <si>
    <t>Maybe it can help me to improve my knowledge about computer science and technology.</t>
  </si>
  <si>
    <t>mhswapnil000@gmail.com</t>
  </si>
  <si>
    <t>MH Sakline Shafiq</t>
  </si>
  <si>
    <t>mh.sakline.shafiq@g.bracu.ac.bd</t>
  </si>
  <si>
    <t xml:space="preserve">Cycling </t>
  </si>
  <si>
    <t xml:space="preserve">Jhinaidah </t>
  </si>
  <si>
    <t>Family requirement and  everyone's suggestion</t>
  </si>
  <si>
    <t>I expect a beautiful start. It is the first course of cse, my impression towards cse will be determined by it.</t>
  </si>
  <si>
    <t>raisaghurtejabe@gmail.com</t>
  </si>
  <si>
    <t>Sadia Ahmed Raisa</t>
  </si>
  <si>
    <t>sadia.ahmed.raisa@g.bracu.ac.bd</t>
  </si>
  <si>
    <t xml:space="preserve">Dancing &amp; crafting </t>
  </si>
  <si>
    <t xml:space="preserve">Chandpur </t>
  </si>
  <si>
    <t xml:space="preserve">Because I want to build a compatible career for me from anywhere I want as I've plans to shift to overseas (to explore more) </t>
  </si>
  <si>
    <t xml:space="preserve">I guess    at the very beginning we are going to have detailed knowledge about the terms of cse &amp; it's sections 
Morely I may start newly learning the programming language. </t>
  </si>
  <si>
    <t>joykumer698@gmail.com</t>
  </si>
  <si>
    <t>Joy Kumer Tarafder</t>
  </si>
  <si>
    <t>joy.kumer.tarafder@g.bracu.ac.bd</t>
  </si>
  <si>
    <t>Drawing</t>
  </si>
  <si>
    <t>Naogaon, Rajshahi</t>
  </si>
  <si>
    <t>I want to be an employee of google/ microsoft/ meta/ amazone</t>
  </si>
  <si>
    <t>Better skill and knowledge in computer science and engineering.</t>
  </si>
  <si>
    <t>homaira.zaman.roshni@g.bracu.ac.bd</t>
  </si>
  <si>
    <t xml:space="preserve">Mst. Homaira Zaman Roshni </t>
  </si>
  <si>
    <t xml:space="preserve">Graphic design </t>
  </si>
  <si>
    <t xml:space="preserve">Natore </t>
  </si>
  <si>
    <t>Computer science is my passion and i want to learn coding and programming languages.</t>
  </si>
  <si>
    <t>My expectation is to gain some knowledge about programming, data structures and computer systems.</t>
  </si>
  <si>
    <t>tadlinekabir@gmail.com</t>
  </si>
  <si>
    <t xml:space="preserve">Tadline Kabir Arshi </t>
  </si>
  <si>
    <t>tadline.kabir@g.bracu.ac.bd</t>
  </si>
  <si>
    <t>Narsingdi</t>
  </si>
  <si>
    <t>CSE is rapidly growing field with high demands for skilled professionals.</t>
  </si>
  <si>
    <t xml:space="preserve">To learn about coding and programming </t>
  </si>
  <si>
    <t>arysha.zaman@g.bracu.ac.bd</t>
  </si>
  <si>
    <t>Arysha Zaman</t>
  </si>
  <si>
    <t>Hobby- Reading books to have a better grasp of different cultures around the world.</t>
  </si>
  <si>
    <t>The modern world is dependent on computers and their functions. I took CSE to make my process of navigating through the world easier and do something for the greater good.</t>
  </si>
  <si>
    <t>To learn the basics of programming and understand how algorithms work.</t>
  </si>
  <si>
    <t>shanjidaadhora22@gmail.com</t>
  </si>
  <si>
    <t>Rifa Shanjida Adhora</t>
  </si>
  <si>
    <t>rifa.shanjida.adhora@g.bracu.ac.bd</t>
  </si>
  <si>
    <t>Dancing</t>
  </si>
  <si>
    <t>Gopalganj</t>
  </si>
  <si>
    <t>I love learning new things. And I always had a knack for computer and the things we could do with it. So what’s a better way to learn about it than getting into Cse</t>
  </si>
  <si>
    <t>I just want to learn about this world like I’ve wanted since I saw my brother doing code and making websites.</t>
  </si>
  <si>
    <t>mushfiq.shahariar@g.bracu.ac.bd</t>
  </si>
  <si>
    <t xml:space="preserve">Mushfiq Shahariar </t>
  </si>
  <si>
    <t xml:space="preserve">Narayanganj </t>
  </si>
  <si>
    <t xml:space="preserve">Its always been my passion </t>
  </si>
  <si>
    <t xml:space="preserve">To learn the basics of coding </t>
  </si>
  <si>
    <t>fatimahmiazi@gmail.com</t>
  </si>
  <si>
    <t xml:space="preserve">Fatimah Miazi </t>
  </si>
  <si>
    <t>fatimah.miazi@g.bracu.ac.bd</t>
  </si>
  <si>
    <t>Crafting</t>
  </si>
  <si>
    <t xml:space="preserve">Cumilla </t>
  </si>
  <si>
    <t xml:space="preserve">I hope I get to learn the basics from the scratch, my Parents did pressurize me But i grew interest in this subject gradually. </t>
  </si>
  <si>
    <t>fahimchowdhury129800@gmail.com</t>
  </si>
  <si>
    <t>faisal.islam.chowdhury@g.bracu.ac.bd</t>
  </si>
  <si>
    <t>BRAHMANBARIA</t>
  </si>
  <si>
    <t>I hope this major would be beneficial for my future InShaAllah</t>
  </si>
  <si>
    <t>I honestly expect  this course to start from the basics by our instructor.. thank you..</t>
  </si>
  <si>
    <t>abidarshiyan@gmail.com</t>
  </si>
  <si>
    <t>Md.Abid Hasan</t>
  </si>
  <si>
    <t>md.abid.hasan5@g.bracu.ac.bd</t>
  </si>
  <si>
    <t xml:space="preserve">Writing, singing </t>
  </si>
  <si>
    <t xml:space="preserve">Bagerhat </t>
  </si>
  <si>
    <t xml:space="preserve">I love coding and also have interest in mathematics. Also i want to be a data scientists. That's why cse is my priority </t>
  </si>
  <si>
    <t xml:space="preserve">To learn </t>
  </si>
  <si>
    <t>rahibkibriachoudhury@gmail.com</t>
  </si>
  <si>
    <t>Rahib Kibria Choudhury</t>
  </si>
  <si>
    <t>rahib.kibria.choudhury@g.bracu.ac.bd</t>
  </si>
  <si>
    <t xml:space="preserve">Casual gaming
</t>
  </si>
  <si>
    <t xml:space="preserve">Love learning about computers and approaches to solving problems. Also mildly curious about robotics. </t>
  </si>
  <si>
    <t xml:space="preserve">Better exposure to the field of computer science compared to A levels and what's in store down the line. </t>
  </si>
  <si>
    <t>labibaafzal2019@gmail.com</t>
  </si>
  <si>
    <t>Labiba Afzal</t>
  </si>
  <si>
    <t>labiba.afzal@g.bracu.ac.bd</t>
  </si>
  <si>
    <t>I think i am good at teaching.</t>
  </si>
  <si>
    <t xml:space="preserve">Want to know more about programming language </t>
  </si>
  <si>
    <t>Math that are needed for CSE. Mostly statistics related math.</t>
  </si>
  <si>
    <t>morshedur.rahman@g.bracu.ac.bd</t>
  </si>
  <si>
    <t xml:space="preserve">Morshedur Rahman </t>
  </si>
  <si>
    <t xml:space="preserve">Good at nothing </t>
  </si>
  <si>
    <t xml:space="preserve">Dhaka </t>
  </si>
  <si>
    <t xml:space="preserve">Has many scopes. </t>
  </si>
  <si>
    <t xml:space="preserve">Great start </t>
  </si>
  <si>
    <t>nafis.masrur.islam@g.bracu.ac.bd</t>
  </si>
  <si>
    <t>DHAKA</t>
  </si>
  <si>
    <t xml:space="preserve">I think I can do better in CSE. </t>
  </si>
  <si>
    <t>Making myself more skillful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</si>
</sst>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m/d/yyyy h:mm:ss"/>
  </numFmts>
  <fonts count="8">
    <font>
      <sz val="10.0"/>
      <color rgb="FF000000"/>
      <name val="Arial"/>
      <scheme val="minor"/>
    </font>
    <font>
      <sz val="10.0"/>
      <color rgb="FF000000"/>
      <name val="Sansserif"/>
    </font>
    <font>
      <b/>
      <sz val="14.0"/>
      <color rgb="FF000000"/>
      <name val="Arial"/>
    </font>
    <font>
      <b/>
      <sz val="10.0"/>
      <color rgb="FF000000"/>
      <name val="Arial"/>
    </font>
    <font>
      <b/>
      <sz val="9.0"/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bottom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readingOrder="0" shrinkToFit="0" vertical="center" wrapText="1"/>
    </xf>
    <xf borderId="1" fillId="2" fontId="3" numFmtId="164" xfId="0" applyAlignment="1" applyBorder="1" applyFont="1" applyNumberFormat="1">
      <alignment horizontal="center" readingOrder="0" shrinkToFit="0" textRotation="90" vertical="center" wrapText="1"/>
    </xf>
    <xf borderId="3" fillId="0" fontId="4" numFmtId="0" xfId="0" applyAlignment="1" applyBorder="1" applyFont="1">
      <alignment horizontal="center" shrinkToFit="0" vertical="center" wrapText="1"/>
    </xf>
    <xf borderId="4" fillId="3" fontId="3" numFmtId="0" xfId="0" applyAlignment="1" applyBorder="1" applyFill="1" applyFont="1">
      <alignment horizontal="left" shrinkToFit="0" vertical="center" wrapText="1"/>
    </xf>
    <xf borderId="3" fillId="3" fontId="3" numFmtId="0" xfId="0" applyAlignment="1" applyBorder="1" applyFont="1">
      <alignment horizontal="left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4" fillId="4" fontId="3" numFmtId="0" xfId="0" applyAlignment="1" applyBorder="1" applyFill="1" applyFont="1">
      <alignment horizontal="left" shrinkToFit="0" vertical="center" wrapText="1"/>
    </xf>
    <xf borderId="3" fillId="5" fontId="4" numFmtId="0" xfId="0" applyAlignment="1" applyBorder="1" applyFill="1" applyFont="1">
      <alignment horizontal="center" readingOrder="0" shrinkToFit="0" vertical="center" wrapText="1"/>
    </xf>
    <xf borderId="3" fillId="4" fontId="4" numFmtId="0" xfId="0" applyAlignment="1" applyBorder="1" applyFont="1">
      <alignment horizontal="center" readingOrder="0" shrinkToFit="0" vertical="center" wrapText="1"/>
    </xf>
    <xf borderId="3" fillId="3" fontId="4" numFmtId="0" xfId="0" applyAlignment="1" applyBorder="1" applyFont="1">
      <alignment horizontal="center" readingOrder="0" shrinkToFit="0" vertical="center" wrapText="1"/>
    </xf>
    <xf borderId="4" fillId="6" fontId="3" numFmtId="0" xfId="0" applyAlignment="1" applyBorder="1" applyFill="1" applyFont="1">
      <alignment horizontal="left" shrinkToFit="0" vertical="center" wrapText="1"/>
    </xf>
    <xf borderId="3" fillId="7" fontId="4" numFmtId="0" xfId="0" applyAlignment="1" applyBorder="1" applyFill="1" applyFont="1">
      <alignment horizontal="center" readingOrder="0" shrinkToFit="0" vertical="center" wrapText="1"/>
    </xf>
    <xf borderId="3" fillId="0" fontId="4" numFmtId="49" xfId="0" applyAlignment="1" applyBorder="1" applyFont="1" applyNumberFormat="1">
      <alignment horizontal="center" readingOrder="0" shrinkToFit="0" vertical="center" wrapText="1"/>
    </xf>
    <xf borderId="4" fillId="3" fontId="3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/>
    </xf>
    <xf borderId="3" fillId="6" fontId="3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vertical="bottom"/>
    </xf>
    <xf borderId="0" fillId="0" fontId="7" numFmtId="49" xfId="0" applyAlignment="1" applyFont="1" applyNumberFormat="1">
      <alignment horizontal="right" vertical="bottom"/>
    </xf>
    <xf borderId="0" fillId="0" fontId="7" numFmtId="0" xfId="0" applyAlignment="1" applyFont="1">
      <alignment shrinkToFit="0" vertical="bottom" wrapText="0"/>
    </xf>
    <xf borderId="0" fillId="0" fontId="7" numFmtId="165" xfId="0" applyAlignment="1" applyFont="1" applyNumberFormat="1">
      <alignment horizontal="right" vertical="bottom"/>
    </xf>
    <xf borderId="0" fillId="0" fontId="7" numFmtId="0" xfId="0" applyAlignment="1" applyFont="1">
      <alignment readingOrder="0" vertical="bottom"/>
    </xf>
    <xf borderId="0" fillId="0" fontId="6" numFmtId="165" xfId="0" applyFont="1" applyNumberFormat="1"/>
    <xf borderId="0" fillId="0" fontId="6" numFmtId="0" xfId="0" applyFont="1"/>
    <xf borderId="0" fillId="0" fontId="6" numFmtId="49" xfId="0" applyAlignment="1" applyFont="1" applyNumberFormat="1">
      <alignment horizontal="right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0010775" cy="685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8.88"/>
    <col customWidth="1" min="2" max="2" width="4.88"/>
    <col customWidth="1" min="3" max="3" width="13.25"/>
    <col customWidth="1" min="4" max="4" width="33.38"/>
    <col customWidth="1" min="5" max="5" width="35.0"/>
    <col customWidth="1" min="6" max="27" width="4.88"/>
    <col customWidth="1" min="28" max="28" width="15.25"/>
    <col customWidth="1" hidden="1" min="29" max="29" width="8.88"/>
    <col customWidth="1" min="30" max="34" width="8.0"/>
  </cols>
  <sheetData>
    <row r="1" ht="60.0" customHeight="1">
      <c r="A1" s="1"/>
      <c r="B1" s="1"/>
      <c r="AC1" s="1"/>
    </row>
    <row r="2" ht="108.0" customHeight="1">
      <c r="A2" s="1"/>
      <c r="B2" s="2" t="s">
        <v>0</v>
      </c>
      <c r="AC2" s="1"/>
    </row>
    <row r="3" ht="53.25" customHeight="1">
      <c r="A3" s="1"/>
      <c r="B3" s="3" t="s">
        <v>1</v>
      </c>
      <c r="C3" s="3" t="s">
        <v>2</v>
      </c>
      <c r="D3" s="3" t="s">
        <v>3</v>
      </c>
      <c r="E3" s="4" t="s">
        <v>4</v>
      </c>
      <c r="F3" s="5">
        <v>45312.0</v>
      </c>
      <c r="G3" s="5">
        <v>45314.0</v>
      </c>
      <c r="H3" s="5">
        <v>45319.0</v>
      </c>
      <c r="I3" s="5">
        <v>45321.0</v>
      </c>
      <c r="J3" s="5">
        <v>45326.0</v>
      </c>
      <c r="K3" s="5">
        <v>45328.0</v>
      </c>
      <c r="L3" s="5">
        <v>45333.0</v>
      </c>
      <c r="M3" s="5">
        <v>45335.0</v>
      </c>
      <c r="N3" s="5">
        <v>45340.0</v>
      </c>
      <c r="O3" s="5">
        <v>45342.0</v>
      </c>
      <c r="P3" s="5">
        <v>45347.0</v>
      </c>
      <c r="Q3" s="5">
        <v>45349.0</v>
      </c>
      <c r="R3" s="5">
        <v>45354.0</v>
      </c>
      <c r="S3" s="5">
        <v>45356.0</v>
      </c>
      <c r="T3" s="5">
        <v>45370.0</v>
      </c>
      <c r="U3" s="5">
        <v>45375.0</v>
      </c>
      <c r="V3" s="5">
        <v>45382.0</v>
      </c>
      <c r="W3" s="5">
        <v>45384.0</v>
      </c>
      <c r="X3" s="5">
        <v>45398.0</v>
      </c>
      <c r="Y3" s="5">
        <v>45405.0</v>
      </c>
      <c r="Z3" s="5">
        <v>45410.0</v>
      </c>
      <c r="AA3" s="5">
        <v>45412.0</v>
      </c>
      <c r="AB3" s="3" t="s">
        <v>5</v>
      </c>
      <c r="AC3" s="1"/>
    </row>
    <row r="4" ht="15.0" customHeight="1">
      <c r="A4" s="1"/>
      <c r="B4" s="6">
        <v>1.0</v>
      </c>
      <c r="C4" s="6" t="s">
        <v>6</v>
      </c>
      <c r="D4" s="7" t="s">
        <v>7</v>
      </c>
      <c r="E4" s="8" t="str">
        <f>IFERROR(VLOOKUP(C4, Info!C:I, 3, FALSE), "Gsuite Not Found")</f>
        <v>faisal.ahmed.fahim@g.bracu.ac.bd</v>
      </c>
      <c r="F4" s="9">
        <v>1.0</v>
      </c>
      <c r="G4" s="9">
        <v>1.0</v>
      </c>
      <c r="H4" s="9">
        <v>0.0</v>
      </c>
      <c r="I4" s="9">
        <v>1.0</v>
      </c>
      <c r="J4" s="9">
        <v>0.0</v>
      </c>
      <c r="K4" s="9">
        <v>0.0</v>
      </c>
      <c r="L4" s="9">
        <v>0.0</v>
      </c>
      <c r="M4" s="9">
        <v>1.0</v>
      </c>
      <c r="N4" s="6" t="s">
        <v>8</v>
      </c>
      <c r="O4" s="9">
        <v>0.0</v>
      </c>
      <c r="P4" s="9">
        <v>0.0</v>
      </c>
      <c r="Q4" s="9">
        <v>0.0</v>
      </c>
      <c r="R4" s="6" t="s">
        <v>8</v>
      </c>
      <c r="S4" s="6" t="s">
        <v>8</v>
      </c>
      <c r="T4" s="9">
        <v>0.0</v>
      </c>
      <c r="U4" s="9">
        <v>0.0</v>
      </c>
      <c r="V4" s="9">
        <v>0.0</v>
      </c>
      <c r="W4" s="9">
        <v>0.0</v>
      </c>
      <c r="X4" s="9">
        <v>0.0</v>
      </c>
      <c r="Y4" s="9">
        <v>0.0</v>
      </c>
      <c r="Z4" s="9">
        <v>0.0</v>
      </c>
      <c r="AA4" s="9">
        <v>0.0</v>
      </c>
      <c r="AB4" s="6" t="s">
        <v>8</v>
      </c>
      <c r="AC4" s="1"/>
    </row>
    <row r="5" ht="15.0" customHeight="1">
      <c r="A5" s="1"/>
      <c r="B5" s="9">
        <v>2.0</v>
      </c>
      <c r="C5" s="6" t="s">
        <v>9</v>
      </c>
      <c r="D5" s="7" t="s">
        <v>10</v>
      </c>
      <c r="E5" s="8" t="str">
        <f>IFERROR(VLOOKUP(C5, Info!C:I, 3, FALSE), "Gsuite Not Found")</f>
        <v>ratul.hasan.shuvo@g.bracu.ac.bd</v>
      </c>
      <c r="F5" s="9">
        <v>1.0</v>
      </c>
      <c r="G5" s="9">
        <v>1.0</v>
      </c>
      <c r="H5" s="9">
        <v>1.0</v>
      </c>
      <c r="I5" s="9">
        <v>1.0</v>
      </c>
      <c r="J5" s="9">
        <v>1.0</v>
      </c>
      <c r="K5" s="9">
        <v>1.0</v>
      </c>
      <c r="L5" s="9">
        <v>1.0</v>
      </c>
      <c r="M5" s="9">
        <v>1.0</v>
      </c>
      <c r="N5" s="6" t="s">
        <v>8</v>
      </c>
      <c r="O5" s="9">
        <v>0.0</v>
      </c>
      <c r="P5" s="9">
        <v>1.0</v>
      </c>
      <c r="Q5" s="9">
        <v>1.0</v>
      </c>
      <c r="R5" s="6" t="s">
        <v>8</v>
      </c>
      <c r="S5" s="6" t="s">
        <v>8</v>
      </c>
      <c r="T5" s="9">
        <v>1.0</v>
      </c>
      <c r="U5" s="9">
        <v>1.0</v>
      </c>
      <c r="V5" s="9">
        <v>0.0</v>
      </c>
      <c r="W5" s="9">
        <v>0.0</v>
      </c>
      <c r="X5" s="9">
        <v>1.0</v>
      </c>
      <c r="Y5" s="9">
        <v>1.0</v>
      </c>
      <c r="Z5" s="9">
        <v>1.0</v>
      </c>
      <c r="AA5" s="9">
        <v>1.0</v>
      </c>
      <c r="AB5" s="6" t="s">
        <v>8</v>
      </c>
      <c r="AC5" s="1"/>
    </row>
    <row r="6" ht="15.0" customHeight="1">
      <c r="A6" s="1"/>
      <c r="B6" s="6">
        <v>3.0</v>
      </c>
      <c r="C6" s="6" t="s">
        <v>11</v>
      </c>
      <c r="D6" s="10" t="s">
        <v>12</v>
      </c>
      <c r="E6" s="8" t="str">
        <f>IFERROR(VLOOKUP(C6, Info!C:I, 3, FALSE), "Gsuite Not Found")</f>
        <v>tasfiqul.islam.tarif@g.bracu.ac.bd</v>
      </c>
      <c r="F6" s="9">
        <v>1.0</v>
      </c>
      <c r="G6" s="9">
        <v>1.0</v>
      </c>
      <c r="H6" s="9">
        <v>1.0</v>
      </c>
      <c r="I6" s="9">
        <v>1.0</v>
      </c>
      <c r="J6" s="11">
        <v>1.0</v>
      </c>
      <c r="K6" s="9">
        <v>1.0</v>
      </c>
      <c r="L6" s="9">
        <v>1.0</v>
      </c>
      <c r="M6" s="9">
        <v>1.0</v>
      </c>
      <c r="N6" s="6" t="s">
        <v>8</v>
      </c>
      <c r="O6" s="9">
        <v>1.0</v>
      </c>
      <c r="P6" s="9">
        <v>1.0</v>
      </c>
      <c r="Q6" s="9">
        <v>1.0</v>
      </c>
      <c r="R6" s="6" t="s">
        <v>8</v>
      </c>
      <c r="S6" s="6" t="s">
        <v>8</v>
      </c>
      <c r="T6" s="9">
        <v>0.0</v>
      </c>
      <c r="U6" s="12">
        <v>1.0</v>
      </c>
      <c r="V6" s="13">
        <v>1.0</v>
      </c>
      <c r="W6" s="13">
        <v>0.0</v>
      </c>
      <c r="X6" s="13">
        <v>0.0</v>
      </c>
      <c r="Y6" s="13">
        <v>1.0</v>
      </c>
      <c r="Z6" s="13">
        <v>1.0</v>
      </c>
      <c r="AA6" s="13">
        <v>1.0</v>
      </c>
      <c r="AB6" s="6" t="s">
        <v>8</v>
      </c>
      <c r="AC6" s="1"/>
    </row>
    <row r="7" ht="15.0" customHeight="1">
      <c r="A7" s="1"/>
      <c r="B7" s="9">
        <v>4.0</v>
      </c>
      <c r="C7" s="6" t="s">
        <v>13</v>
      </c>
      <c r="D7" s="7" t="s">
        <v>14</v>
      </c>
      <c r="E7" s="8" t="str">
        <f>IFERROR(VLOOKUP(C7, Info!C:I, 3, FALSE), "Gsuite Not Found")</f>
        <v>nusaiba.nusrat.zaman@g.bracu.ac.bd</v>
      </c>
      <c r="F7" s="9">
        <v>1.0</v>
      </c>
      <c r="G7" s="9">
        <v>1.0</v>
      </c>
      <c r="H7" s="9">
        <v>1.0</v>
      </c>
      <c r="I7" s="9">
        <v>1.0</v>
      </c>
      <c r="J7" s="11">
        <v>1.0</v>
      </c>
      <c r="K7" s="9">
        <v>1.0</v>
      </c>
      <c r="L7" s="9">
        <v>1.0</v>
      </c>
      <c r="M7" s="9">
        <v>0.0</v>
      </c>
      <c r="N7" s="6" t="s">
        <v>8</v>
      </c>
      <c r="O7" s="9">
        <v>1.0</v>
      </c>
      <c r="P7" s="9">
        <v>0.0</v>
      </c>
      <c r="Q7" s="9">
        <v>1.0</v>
      </c>
      <c r="R7" s="6" t="s">
        <v>8</v>
      </c>
      <c r="S7" s="6" t="s">
        <v>8</v>
      </c>
      <c r="T7" s="9">
        <v>1.0</v>
      </c>
      <c r="U7" s="9">
        <v>1.0</v>
      </c>
      <c r="V7" s="9">
        <v>1.0</v>
      </c>
      <c r="W7" s="9">
        <v>0.0</v>
      </c>
      <c r="X7" s="9">
        <v>0.0</v>
      </c>
      <c r="Y7" s="9">
        <v>0.0</v>
      </c>
      <c r="Z7" s="9">
        <v>0.0</v>
      </c>
      <c r="AA7" s="9">
        <v>0.0</v>
      </c>
      <c r="AB7" s="6" t="s">
        <v>8</v>
      </c>
      <c r="AC7" s="1"/>
    </row>
    <row r="8" ht="19.5" customHeight="1">
      <c r="A8" s="1"/>
      <c r="B8" s="6">
        <v>5.0</v>
      </c>
      <c r="C8" s="6" t="s">
        <v>15</v>
      </c>
      <c r="D8" s="7" t="s">
        <v>16</v>
      </c>
      <c r="E8" s="8" t="str">
        <f>IFERROR(VLOOKUP(C8, Info!C:I, 3, FALSE), "Gsuite Not Found")</f>
        <v>adil.ahanaf.shawcho@g.bracu.ac.bd</v>
      </c>
      <c r="F8" s="9">
        <v>1.0</v>
      </c>
      <c r="G8" s="9">
        <v>1.0</v>
      </c>
      <c r="H8" s="9">
        <v>1.0</v>
      </c>
      <c r="I8" s="9">
        <v>1.0</v>
      </c>
      <c r="J8" s="9">
        <v>1.0</v>
      </c>
      <c r="K8" s="9">
        <v>1.0</v>
      </c>
      <c r="L8" s="9">
        <v>1.0</v>
      </c>
      <c r="M8" s="9">
        <v>1.0</v>
      </c>
      <c r="N8" s="6" t="s">
        <v>8</v>
      </c>
      <c r="O8" s="9">
        <v>1.0</v>
      </c>
      <c r="P8" s="11">
        <v>1.0</v>
      </c>
      <c r="Q8" s="11">
        <v>1.0</v>
      </c>
      <c r="R8" s="6" t="s">
        <v>8</v>
      </c>
      <c r="S8" s="6" t="s">
        <v>8</v>
      </c>
      <c r="T8" s="9">
        <v>0.0</v>
      </c>
      <c r="U8" s="9">
        <v>1.0</v>
      </c>
      <c r="V8" s="11">
        <v>1.0</v>
      </c>
      <c r="W8" s="13">
        <v>1.0</v>
      </c>
      <c r="X8" s="11">
        <v>1.0</v>
      </c>
      <c r="Y8" s="13">
        <v>1.0</v>
      </c>
      <c r="Z8" s="13">
        <v>1.0</v>
      </c>
      <c r="AA8" s="13">
        <v>1.0</v>
      </c>
      <c r="AB8" s="6" t="s">
        <v>8</v>
      </c>
      <c r="AC8" s="1"/>
    </row>
    <row r="9" ht="15.0" customHeight="1">
      <c r="A9" s="1"/>
      <c r="B9" s="9">
        <v>6.0</v>
      </c>
      <c r="C9" s="6" t="s">
        <v>17</v>
      </c>
      <c r="D9" s="7" t="s">
        <v>18</v>
      </c>
      <c r="E9" s="8" t="str">
        <f>IFERROR(VLOOKUP(C9, Info!C:I, 3, FALSE), "Gsuite Not Found")</f>
        <v>tadline.kabir@g.bracu.ac.bd</v>
      </c>
      <c r="F9" s="9">
        <v>1.0</v>
      </c>
      <c r="G9" s="9">
        <v>1.0</v>
      </c>
      <c r="H9" s="9">
        <v>1.0</v>
      </c>
      <c r="I9" s="9">
        <v>1.0</v>
      </c>
      <c r="J9" s="9">
        <v>1.0</v>
      </c>
      <c r="K9" s="9">
        <v>1.0</v>
      </c>
      <c r="L9" s="9">
        <v>1.0</v>
      </c>
      <c r="M9" s="9">
        <v>1.0</v>
      </c>
      <c r="N9" s="6" t="s">
        <v>8</v>
      </c>
      <c r="O9" s="9">
        <v>1.0</v>
      </c>
      <c r="P9" s="9">
        <v>0.0</v>
      </c>
      <c r="Q9" s="9">
        <v>0.0</v>
      </c>
      <c r="R9" s="6" t="s">
        <v>8</v>
      </c>
      <c r="S9" s="6" t="s">
        <v>8</v>
      </c>
      <c r="T9" s="9">
        <v>1.0</v>
      </c>
      <c r="U9" s="9">
        <v>1.0</v>
      </c>
      <c r="V9" s="9">
        <v>1.0</v>
      </c>
      <c r="W9" s="9">
        <v>1.0</v>
      </c>
      <c r="X9" s="9">
        <v>0.0</v>
      </c>
      <c r="Y9" s="9">
        <v>1.0</v>
      </c>
      <c r="Z9" s="9">
        <v>1.0</v>
      </c>
      <c r="AA9" s="9">
        <v>1.0</v>
      </c>
      <c r="AB9" s="6" t="s">
        <v>8</v>
      </c>
      <c r="AC9" s="1"/>
    </row>
    <row r="10" ht="15.0" customHeight="1">
      <c r="A10" s="1"/>
      <c r="B10" s="6">
        <v>7.0</v>
      </c>
      <c r="C10" s="6" t="s">
        <v>19</v>
      </c>
      <c r="D10" s="14" t="s">
        <v>20</v>
      </c>
      <c r="E10" s="8" t="str">
        <f>IFERROR(VLOOKUP(C10, Info!C:I, 3, FALSE), "Gsuite Not Found")</f>
        <v>ridwanur.rahman.saad@g.bracu.ac.bd</v>
      </c>
      <c r="F10" s="9">
        <v>1.0</v>
      </c>
      <c r="G10" s="9">
        <v>1.0</v>
      </c>
      <c r="H10" s="9">
        <v>1.0</v>
      </c>
      <c r="I10" s="9">
        <v>1.0</v>
      </c>
      <c r="J10" s="9">
        <v>1.0</v>
      </c>
      <c r="K10" s="9">
        <v>1.0</v>
      </c>
      <c r="L10" s="9">
        <v>1.0</v>
      </c>
      <c r="M10" s="9">
        <v>0.0</v>
      </c>
      <c r="N10" s="6" t="s">
        <v>8</v>
      </c>
      <c r="O10" s="9">
        <v>0.0</v>
      </c>
      <c r="P10" s="9">
        <v>0.0</v>
      </c>
      <c r="Q10" s="9">
        <v>0.0</v>
      </c>
      <c r="R10" s="6" t="s">
        <v>8</v>
      </c>
      <c r="S10" s="6" t="s">
        <v>8</v>
      </c>
      <c r="T10" s="9">
        <v>0.0</v>
      </c>
      <c r="U10" s="9">
        <v>0.0</v>
      </c>
      <c r="V10" s="9"/>
      <c r="W10" s="9"/>
      <c r="X10" s="9"/>
      <c r="Y10" s="9"/>
      <c r="Z10" s="9"/>
      <c r="AA10" s="9"/>
      <c r="AB10" s="6" t="s">
        <v>8</v>
      </c>
      <c r="AC10" s="1"/>
    </row>
    <row r="11" ht="15.0" customHeight="1">
      <c r="A11" s="1"/>
      <c r="B11" s="9">
        <v>8.0</v>
      </c>
      <c r="C11" s="6" t="s">
        <v>21</v>
      </c>
      <c r="D11" s="7" t="s">
        <v>22</v>
      </c>
      <c r="E11" s="8" t="str">
        <f>IFERROR(VLOOKUP(C11, Info!C:I, 3, FALSE), "Gsuite Not Found")</f>
        <v>sadia.rahman.supty@g.bracu.ac.bd</v>
      </c>
      <c r="F11" s="9">
        <v>1.0</v>
      </c>
      <c r="G11" s="9">
        <v>1.0</v>
      </c>
      <c r="H11" s="9">
        <v>1.0</v>
      </c>
      <c r="I11" s="9">
        <v>1.0</v>
      </c>
      <c r="J11" s="11">
        <v>1.0</v>
      </c>
      <c r="K11" s="9">
        <v>1.0</v>
      </c>
      <c r="L11" s="9">
        <v>1.0</v>
      </c>
      <c r="M11" s="9">
        <v>1.0</v>
      </c>
      <c r="N11" s="6" t="s">
        <v>8</v>
      </c>
      <c r="O11" s="9">
        <v>1.0</v>
      </c>
      <c r="P11" s="9">
        <v>1.0</v>
      </c>
      <c r="Q11" s="9">
        <v>1.0</v>
      </c>
      <c r="R11" s="6" t="s">
        <v>8</v>
      </c>
      <c r="S11" s="6" t="s">
        <v>8</v>
      </c>
      <c r="T11" s="9">
        <v>1.0</v>
      </c>
      <c r="U11" s="9">
        <v>1.0</v>
      </c>
      <c r="V11" s="9">
        <v>1.0</v>
      </c>
      <c r="W11" s="9">
        <v>1.0</v>
      </c>
      <c r="X11" s="9">
        <v>1.0</v>
      </c>
      <c r="Y11" s="9">
        <v>1.0</v>
      </c>
      <c r="Z11" s="9">
        <v>1.0</v>
      </c>
      <c r="AA11" s="9">
        <v>1.0</v>
      </c>
      <c r="AB11" s="6" t="s">
        <v>8</v>
      </c>
      <c r="AC11" s="1"/>
    </row>
    <row r="12" ht="15.0" customHeight="1">
      <c r="A12" s="1"/>
      <c r="B12" s="6">
        <v>9.0</v>
      </c>
      <c r="C12" s="6" t="s">
        <v>23</v>
      </c>
      <c r="D12" s="7" t="s">
        <v>24</v>
      </c>
      <c r="E12" s="8" t="str">
        <f>IFERROR(VLOOKUP(C12, Info!C:I, 3, FALSE), "Gsuite Not Found")</f>
        <v>abu.noman.kabbo@g.bracu.ac.bd</v>
      </c>
      <c r="F12" s="13">
        <v>1.0</v>
      </c>
      <c r="G12" s="9">
        <v>1.0</v>
      </c>
      <c r="H12" s="9">
        <v>1.0</v>
      </c>
      <c r="I12" s="9">
        <v>1.0</v>
      </c>
      <c r="J12" s="9">
        <v>1.0</v>
      </c>
      <c r="K12" s="9">
        <v>1.0</v>
      </c>
      <c r="L12" s="9">
        <v>1.0</v>
      </c>
      <c r="M12" s="9">
        <v>1.0</v>
      </c>
      <c r="N12" s="6" t="s">
        <v>8</v>
      </c>
      <c r="O12" s="9">
        <v>1.0</v>
      </c>
      <c r="P12" s="9">
        <v>1.0</v>
      </c>
      <c r="Q12" s="9">
        <v>1.0</v>
      </c>
      <c r="R12" s="6" t="s">
        <v>8</v>
      </c>
      <c r="S12" s="6" t="s">
        <v>8</v>
      </c>
      <c r="T12" s="9">
        <v>1.0</v>
      </c>
      <c r="U12" s="9">
        <v>1.0</v>
      </c>
      <c r="V12" s="9">
        <v>1.0</v>
      </c>
      <c r="W12" s="9">
        <v>1.0</v>
      </c>
      <c r="X12" s="9">
        <v>1.0</v>
      </c>
      <c r="Y12" s="9">
        <v>1.0</v>
      </c>
      <c r="Z12" s="9">
        <v>1.0</v>
      </c>
      <c r="AA12" s="9">
        <v>1.0</v>
      </c>
      <c r="AB12" s="6" t="s">
        <v>8</v>
      </c>
      <c r="AC12" s="1"/>
    </row>
    <row r="13" ht="15.0" customHeight="1">
      <c r="A13" s="1"/>
      <c r="B13" s="9">
        <v>10.0</v>
      </c>
      <c r="C13" s="6" t="s">
        <v>25</v>
      </c>
      <c r="D13" s="7" t="s">
        <v>26</v>
      </c>
      <c r="E13" s="8" t="str">
        <f>IFERROR(VLOOKUP(C13, Info!C:I, 3, FALSE), "Gsuite Not Found")</f>
        <v>shabnoom.tayammum@g.bracu.ac.bd</v>
      </c>
      <c r="F13" s="9">
        <v>1.0</v>
      </c>
      <c r="G13" s="9">
        <v>1.0</v>
      </c>
      <c r="H13" s="9">
        <v>1.0</v>
      </c>
      <c r="I13" s="9">
        <v>1.0</v>
      </c>
      <c r="J13" s="9">
        <v>1.0</v>
      </c>
      <c r="K13" s="9">
        <v>1.0</v>
      </c>
      <c r="L13" s="9">
        <v>1.0</v>
      </c>
      <c r="M13" s="9">
        <v>1.0</v>
      </c>
      <c r="N13" s="6" t="s">
        <v>8</v>
      </c>
      <c r="O13" s="9">
        <v>1.0</v>
      </c>
      <c r="P13" s="9">
        <v>1.0</v>
      </c>
      <c r="Q13" s="9">
        <v>1.0</v>
      </c>
      <c r="R13" s="6" t="s">
        <v>8</v>
      </c>
      <c r="S13" s="6" t="s">
        <v>8</v>
      </c>
      <c r="T13" s="9">
        <v>1.0</v>
      </c>
      <c r="U13" s="9">
        <v>1.0</v>
      </c>
      <c r="V13" s="9">
        <v>1.0</v>
      </c>
      <c r="W13" s="9">
        <v>1.0</v>
      </c>
      <c r="X13" s="9">
        <v>1.0</v>
      </c>
      <c r="Y13" s="9">
        <v>1.0</v>
      </c>
      <c r="Z13" s="9">
        <v>1.0</v>
      </c>
      <c r="AA13" s="9">
        <v>1.0</v>
      </c>
      <c r="AB13" s="6" t="s">
        <v>8</v>
      </c>
      <c r="AC13" s="1"/>
    </row>
    <row r="14" ht="15.75" customHeight="1">
      <c r="A14" s="1"/>
      <c r="B14" s="6">
        <v>11.0</v>
      </c>
      <c r="C14" s="6" t="s">
        <v>27</v>
      </c>
      <c r="D14" s="10" t="s">
        <v>28</v>
      </c>
      <c r="E14" s="8" t="str">
        <f>IFERROR(VLOOKUP(C14, Info!C:I, 3, FALSE), "Gsuite Not Found")</f>
        <v>faisal.islam.chowdhury@g.bracu.ac.bd</v>
      </c>
      <c r="F14" s="9">
        <v>1.0</v>
      </c>
      <c r="G14" s="9">
        <v>1.0</v>
      </c>
      <c r="H14" s="9">
        <v>1.0</v>
      </c>
      <c r="I14" s="9">
        <v>1.0</v>
      </c>
      <c r="J14" s="11">
        <v>1.0</v>
      </c>
      <c r="K14" s="9">
        <v>1.0</v>
      </c>
      <c r="L14" s="9">
        <v>1.0</v>
      </c>
      <c r="M14" s="9">
        <v>1.0</v>
      </c>
      <c r="N14" s="6" t="s">
        <v>8</v>
      </c>
      <c r="O14" s="9">
        <v>1.0</v>
      </c>
      <c r="P14" s="9">
        <v>1.0</v>
      </c>
      <c r="Q14" s="9">
        <v>1.0</v>
      </c>
      <c r="R14" s="6" t="s">
        <v>8</v>
      </c>
      <c r="S14" s="6" t="s">
        <v>8</v>
      </c>
      <c r="T14" s="9">
        <v>1.0</v>
      </c>
      <c r="U14" s="12">
        <v>1.0</v>
      </c>
      <c r="V14" s="13">
        <v>1.0</v>
      </c>
      <c r="W14" s="13">
        <v>0.0</v>
      </c>
      <c r="X14" s="13">
        <v>0.0</v>
      </c>
      <c r="Y14" s="13">
        <v>0.0</v>
      </c>
      <c r="Z14" s="13">
        <v>0.0</v>
      </c>
      <c r="AA14" s="13">
        <v>0.0</v>
      </c>
      <c r="AB14" s="6" t="s">
        <v>8</v>
      </c>
      <c r="AC14" s="1"/>
    </row>
    <row r="15" ht="15.0" customHeight="1">
      <c r="A15" s="1"/>
      <c r="B15" s="9">
        <v>12.0</v>
      </c>
      <c r="C15" s="6" t="s">
        <v>29</v>
      </c>
      <c r="D15" s="7" t="s">
        <v>30</v>
      </c>
      <c r="E15" s="8" t="str">
        <f>IFERROR(VLOOKUP(C15, Info!C:I, 3, FALSE), "Gsuite Not Found")</f>
        <v>tanha.ahmed@g.bracu.ac.bd</v>
      </c>
      <c r="F15" s="9">
        <v>1.0</v>
      </c>
      <c r="G15" s="9">
        <v>0.0</v>
      </c>
      <c r="H15" s="9">
        <v>1.0</v>
      </c>
      <c r="I15" s="9">
        <v>1.0</v>
      </c>
      <c r="J15" s="9">
        <v>1.0</v>
      </c>
      <c r="K15" s="9">
        <v>1.0</v>
      </c>
      <c r="L15" s="9">
        <v>1.0</v>
      </c>
      <c r="M15" s="9">
        <v>1.0</v>
      </c>
      <c r="N15" s="6" t="s">
        <v>8</v>
      </c>
      <c r="O15" s="9">
        <v>1.0</v>
      </c>
      <c r="P15" s="11">
        <v>1.0</v>
      </c>
      <c r="Q15" s="9">
        <v>1.0</v>
      </c>
      <c r="R15" s="6" t="s">
        <v>8</v>
      </c>
      <c r="S15" s="6" t="s">
        <v>8</v>
      </c>
      <c r="T15" s="9">
        <v>0.0</v>
      </c>
      <c r="U15" s="9">
        <v>0.0</v>
      </c>
      <c r="V15" s="9">
        <v>0.0</v>
      </c>
      <c r="W15" s="9">
        <v>0.0</v>
      </c>
      <c r="X15" s="9">
        <v>0.0</v>
      </c>
      <c r="Y15" s="9">
        <v>0.0</v>
      </c>
      <c r="Z15" s="9">
        <v>0.0</v>
      </c>
      <c r="AA15" s="9">
        <v>0.0</v>
      </c>
      <c r="AB15" s="6" t="s">
        <v>8</v>
      </c>
      <c r="AC15" s="1"/>
    </row>
    <row r="16" ht="15.0" customHeight="1">
      <c r="A16" s="1"/>
      <c r="B16" s="6">
        <v>13.0</v>
      </c>
      <c r="C16" s="6" t="s">
        <v>31</v>
      </c>
      <c r="D16" s="7" t="s">
        <v>32</v>
      </c>
      <c r="E16" s="8" t="str">
        <f>IFERROR(VLOOKUP(C16, Info!C:I, 3, FALSE), "Gsuite Not Found")</f>
        <v>maimona.akter.sara@g.bracu.ac.bd</v>
      </c>
      <c r="F16" s="9">
        <v>1.0</v>
      </c>
      <c r="G16" s="9">
        <v>1.0</v>
      </c>
      <c r="H16" s="9">
        <v>1.0</v>
      </c>
      <c r="I16" s="9">
        <v>1.0</v>
      </c>
      <c r="J16" s="9">
        <v>1.0</v>
      </c>
      <c r="K16" s="9">
        <v>1.0</v>
      </c>
      <c r="L16" s="9">
        <v>1.0</v>
      </c>
      <c r="M16" s="9">
        <v>1.0</v>
      </c>
      <c r="N16" s="6" t="s">
        <v>8</v>
      </c>
      <c r="O16" s="9">
        <v>1.0</v>
      </c>
      <c r="P16" s="9">
        <v>1.0</v>
      </c>
      <c r="Q16" s="9">
        <v>1.0</v>
      </c>
      <c r="R16" s="6" t="s">
        <v>8</v>
      </c>
      <c r="S16" s="6" t="s">
        <v>8</v>
      </c>
      <c r="T16" s="9">
        <v>1.0</v>
      </c>
      <c r="U16" s="9">
        <v>1.0</v>
      </c>
      <c r="V16" s="9">
        <v>0.0</v>
      </c>
      <c r="W16" s="9">
        <v>1.0</v>
      </c>
      <c r="X16" s="9">
        <v>1.0</v>
      </c>
      <c r="Y16" s="9">
        <v>1.0</v>
      </c>
      <c r="Z16" s="9">
        <v>1.0</v>
      </c>
      <c r="AA16" s="9">
        <v>1.0</v>
      </c>
      <c r="AB16" s="6" t="s">
        <v>8</v>
      </c>
      <c r="AC16" s="1"/>
    </row>
    <row r="17" ht="15.0" customHeight="1">
      <c r="A17" s="1"/>
      <c r="B17" s="9">
        <v>14.0</v>
      </c>
      <c r="C17" s="6" t="s">
        <v>33</v>
      </c>
      <c r="D17" s="7" t="s">
        <v>34</v>
      </c>
      <c r="E17" s="8" t="str">
        <f>IFERROR(VLOOKUP(C17, Info!C:I, 3, FALSE), "Gsuite Not Found")</f>
        <v>md.abid.hasan5@g.bracu.ac.bd</v>
      </c>
      <c r="F17" s="9">
        <v>1.0</v>
      </c>
      <c r="G17" s="9">
        <v>1.0</v>
      </c>
      <c r="H17" s="9">
        <v>1.0</v>
      </c>
      <c r="I17" s="9">
        <v>1.0</v>
      </c>
      <c r="J17" s="11">
        <v>1.0</v>
      </c>
      <c r="K17" s="9">
        <v>1.0</v>
      </c>
      <c r="L17" s="9">
        <v>1.0</v>
      </c>
      <c r="M17" s="9">
        <v>1.0</v>
      </c>
      <c r="N17" s="6" t="s">
        <v>8</v>
      </c>
      <c r="O17" s="9">
        <v>1.0</v>
      </c>
      <c r="P17" s="9">
        <v>1.0</v>
      </c>
      <c r="Q17" s="9">
        <v>1.0</v>
      </c>
      <c r="R17" s="6" t="s">
        <v>8</v>
      </c>
      <c r="S17" s="6" t="s">
        <v>8</v>
      </c>
      <c r="T17" s="9">
        <v>1.0</v>
      </c>
      <c r="U17" s="11">
        <v>1.0</v>
      </c>
      <c r="V17" s="13">
        <v>1.0</v>
      </c>
      <c r="W17" s="13">
        <v>1.0</v>
      </c>
      <c r="X17" s="13">
        <v>0.0</v>
      </c>
      <c r="Y17" s="13">
        <v>1.0</v>
      </c>
      <c r="Z17" s="13">
        <v>1.0</v>
      </c>
      <c r="AA17" s="13">
        <v>0.0</v>
      </c>
      <c r="AB17" s="6" t="s">
        <v>8</v>
      </c>
      <c r="AC17" s="1"/>
    </row>
    <row r="18" ht="15.0" customHeight="1">
      <c r="A18" s="1"/>
      <c r="B18" s="6">
        <v>15.0</v>
      </c>
      <c r="C18" s="6" t="s">
        <v>35</v>
      </c>
      <c r="D18" s="7" t="s">
        <v>36</v>
      </c>
      <c r="E18" s="8" t="str">
        <f>IFERROR(VLOOKUP(C18, Info!C:I, 3, FALSE), "Gsuite Not Found")</f>
        <v>zafrin.zaman@g.bracu.ac.bd</v>
      </c>
      <c r="F18" s="9">
        <v>1.0</v>
      </c>
      <c r="G18" s="9">
        <v>1.0</v>
      </c>
      <c r="H18" s="9">
        <v>1.0</v>
      </c>
      <c r="I18" s="9">
        <v>1.0</v>
      </c>
      <c r="J18" s="9">
        <v>1.0</v>
      </c>
      <c r="K18" s="9">
        <v>1.0</v>
      </c>
      <c r="L18" s="9">
        <v>1.0</v>
      </c>
      <c r="M18" s="9">
        <v>1.0</v>
      </c>
      <c r="N18" s="6" t="s">
        <v>8</v>
      </c>
      <c r="O18" s="9">
        <v>1.0</v>
      </c>
      <c r="P18" s="9">
        <v>0.0</v>
      </c>
      <c r="Q18" s="9">
        <v>1.0</v>
      </c>
      <c r="R18" s="6" t="s">
        <v>8</v>
      </c>
      <c r="S18" s="6" t="s">
        <v>8</v>
      </c>
      <c r="T18" s="9">
        <v>1.0</v>
      </c>
      <c r="U18" s="9">
        <v>1.0</v>
      </c>
      <c r="V18" s="9">
        <v>1.0</v>
      </c>
      <c r="W18" s="9">
        <v>1.0</v>
      </c>
      <c r="X18" s="9">
        <v>1.0</v>
      </c>
      <c r="Y18" s="9">
        <v>1.0</v>
      </c>
      <c r="Z18" s="9">
        <v>1.0</v>
      </c>
      <c r="AA18" s="9">
        <v>1.0</v>
      </c>
      <c r="AB18" s="6" t="s">
        <v>8</v>
      </c>
      <c r="AC18" s="1"/>
    </row>
    <row r="19" ht="15.0" customHeight="1">
      <c r="A19" s="1"/>
      <c r="B19" s="9">
        <v>16.0</v>
      </c>
      <c r="C19" s="6" t="s">
        <v>37</v>
      </c>
      <c r="D19" s="7" t="s">
        <v>38</v>
      </c>
      <c r="E19" s="8" t="str">
        <f>IFERROR(VLOOKUP(C19, Info!C:I, 3, FALSE), "Gsuite Not Found")</f>
        <v>sadia.ahmed.raisa@g.bracu.ac.bd</v>
      </c>
      <c r="F19" s="9">
        <v>1.0</v>
      </c>
      <c r="G19" s="9">
        <v>1.0</v>
      </c>
      <c r="H19" s="9">
        <v>1.0</v>
      </c>
      <c r="I19" s="9">
        <v>1.0</v>
      </c>
      <c r="J19" s="9">
        <v>1.0</v>
      </c>
      <c r="K19" s="9">
        <v>1.0</v>
      </c>
      <c r="L19" s="9">
        <v>1.0</v>
      </c>
      <c r="M19" s="9">
        <v>1.0</v>
      </c>
      <c r="N19" s="6" t="s">
        <v>8</v>
      </c>
      <c r="O19" s="9">
        <v>1.0</v>
      </c>
      <c r="P19" s="9">
        <v>1.0</v>
      </c>
      <c r="Q19" s="9">
        <v>1.0</v>
      </c>
      <c r="R19" s="6" t="s">
        <v>8</v>
      </c>
      <c r="S19" s="6" t="s">
        <v>8</v>
      </c>
      <c r="T19" s="9">
        <v>1.0</v>
      </c>
      <c r="U19" s="9">
        <v>1.0</v>
      </c>
      <c r="V19" s="9">
        <v>1.0</v>
      </c>
      <c r="W19" s="9">
        <v>0.0</v>
      </c>
      <c r="X19" s="9">
        <v>1.0</v>
      </c>
      <c r="Y19" s="9">
        <v>1.0</v>
      </c>
      <c r="Z19" s="9">
        <v>1.0</v>
      </c>
      <c r="AA19" s="9">
        <v>1.0</v>
      </c>
      <c r="AB19" s="6" t="s">
        <v>8</v>
      </c>
      <c r="AC19" s="1"/>
    </row>
    <row r="20" ht="18.75" customHeight="1">
      <c r="A20" s="1"/>
      <c r="B20" s="6">
        <v>17.0</v>
      </c>
      <c r="C20" s="6" t="s">
        <v>39</v>
      </c>
      <c r="D20" s="7" t="s">
        <v>40</v>
      </c>
      <c r="E20" s="8" t="str">
        <f>IFERROR(VLOOKUP(C20, Info!C:I, 3, FALSE), "Gsuite Not Found")</f>
        <v>atique.ur.rahman@g.bracu.ac.bd</v>
      </c>
      <c r="F20" s="9">
        <v>1.0</v>
      </c>
      <c r="G20" s="9">
        <v>1.0</v>
      </c>
      <c r="H20" s="9">
        <v>1.0</v>
      </c>
      <c r="I20" s="9">
        <v>1.0</v>
      </c>
      <c r="J20" s="9">
        <v>1.0</v>
      </c>
      <c r="K20" s="9">
        <v>1.0</v>
      </c>
      <c r="L20" s="9">
        <v>1.0</v>
      </c>
      <c r="M20" s="9">
        <v>1.0</v>
      </c>
      <c r="N20" s="6" t="s">
        <v>8</v>
      </c>
      <c r="O20" s="9">
        <v>1.0</v>
      </c>
      <c r="P20" s="15">
        <v>1.0</v>
      </c>
      <c r="Q20" s="9">
        <v>1.0</v>
      </c>
      <c r="R20" s="6" t="s">
        <v>8</v>
      </c>
      <c r="S20" s="6" t="s">
        <v>8</v>
      </c>
      <c r="T20" s="9">
        <v>1.0</v>
      </c>
      <c r="U20" s="9">
        <v>1.0</v>
      </c>
      <c r="V20" s="9">
        <v>1.0</v>
      </c>
      <c r="W20" s="9">
        <v>1.0</v>
      </c>
      <c r="X20" s="9">
        <v>1.0</v>
      </c>
      <c r="Y20" s="9">
        <v>1.0</v>
      </c>
      <c r="Z20" s="9">
        <v>1.0</v>
      </c>
      <c r="AA20" s="9">
        <v>1.0</v>
      </c>
      <c r="AB20" s="6" t="s">
        <v>8</v>
      </c>
      <c r="AC20" s="1"/>
    </row>
    <row r="21" ht="15.0" customHeight="1">
      <c r="A21" s="1"/>
      <c r="B21" s="9">
        <v>18.0</v>
      </c>
      <c r="C21" s="6" t="s">
        <v>41</v>
      </c>
      <c r="D21" s="7" t="s">
        <v>42</v>
      </c>
      <c r="E21" s="8" t="str">
        <f>IFERROR(VLOOKUP(C21, Info!C:I, 3, FALSE), "Gsuite Not Found")</f>
        <v>shakil.anwar.sayem@g.bracu.ac.bd</v>
      </c>
      <c r="F21" s="9">
        <v>1.0</v>
      </c>
      <c r="G21" s="9">
        <v>1.0</v>
      </c>
      <c r="H21" s="9">
        <v>1.0</v>
      </c>
      <c r="I21" s="9">
        <v>1.0</v>
      </c>
      <c r="J21" s="9">
        <v>1.0</v>
      </c>
      <c r="K21" s="9">
        <v>1.0</v>
      </c>
      <c r="L21" s="9">
        <v>1.0</v>
      </c>
      <c r="M21" s="9">
        <v>1.0</v>
      </c>
      <c r="N21" s="6" t="s">
        <v>8</v>
      </c>
      <c r="O21" s="9">
        <v>1.0</v>
      </c>
      <c r="P21" s="9">
        <v>1.0</v>
      </c>
      <c r="Q21" s="9">
        <v>1.0</v>
      </c>
      <c r="R21" s="6" t="s">
        <v>8</v>
      </c>
      <c r="S21" s="6" t="s">
        <v>8</v>
      </c>
      <c r="T21" s="9">
        <v>1.0</v>
      </c>
      <c r="U21" s="9">
        <v>1.0</v>
      </c>
      <c r="V21" s="9">
        <v>1.0</v>
      </c>
      <c r="W21" s="9">
        <v>1.0</v>
      </c>
      <c r="X21" s="9">
        <v>0.0</v>
      </c>
      <c r="Y21" s="9">
        <v>1.0</v>
      </c>
      <c r="Z21" s="9">
        <v>1.0</v>
      </c>
      <c r="AA21" s="9">
        <v>1.0</v>
      </c>
      <c r="AB21" s="6" t="s">
        <v>8</v>
      </c>
      <c r="AC21" s="1"/>
    </row>
    <row r="22" ht="15.0" customHeight="1">
      <c r="A22" s="1"/>
      <c r="B22" s="6">
        <v>19.0</v>
      </c>
      <c r="C22" s="6" t="s">
        <v>43</v>
      </c>
      <c r="D22" s="7" t="s">
        <v>44</v>
      </c>
      <c r="E22" s="8" t="str">
        <f>IFERROR(VLOOKUP(C22, Info!C:I, 3, FALSE), "Gsuite Not Found")</f>
        <v>Afra.anjum.rahman@g.bracu.ac.bd </v>
      </c>
      <c r="F22" s="9">
        <v>1.0</v>
      </c>
      <c r="G22" s="9">
        <v>1.0</v>
      </c>
      <c r="H22" s="9">
        <v>1.0</v>
      </c>
      <c r="I22" s="11">
        <v>1.0</v>
      </c>
      <c r="J22" s="9">
        <v>1.0</v>
      </c>
      <c r="K22" s="9">
        <v>1.0</v>
      </c>
      <c r="L22" s="9">
        <v>1.0</v>
      </c>
      <c r="M22" s="9">
        <v>1.0</v>
      </c>
      <c r="N22" s="6" t="s">
        <v>8</v>
      </c>
      <c r="O22" s="9">
        <v>1.0</v>
      </c>
      <c r="P22" s="9">
        <v>1.0</v>
      </c>
      <c r="Q22" s="9">
        <v>0.0</v>
      </c>
      <c r="R22" s="6" t="s">
        <v>8</v>
      </c>
      <c r="S22" s="6" t="s">
        <v>8</v>
      </c>
      <c r="T22" s="9">
        <v>1.0</v>
      </c>
      <c r="U22" s="9">
        <v>1.0</v>
      </c>
      <c r="V22" s="9">
        <v>1.0</v>
      </c>
      <c r="W22" s="9">
        <v>1.0</v>
      </c>
      <c r="X22" s="9">
        <v>1.0</v>
      </c>
      <c r="Y22" s="9">
        <v>1.0</v>
      </c>
      <c r="Z22" s="9">
        <v>1.0</v>
      </c>
      <c r="AA22" s="9">
        <v>1.0</v>
      </c>
      <c r="AB22" s="6" t="s">
        <v>8</v>
      </c>
      <c r="AC22" s="1"/>
    </row>
    <row r="23" ht="15.0" customHeight="1">
      <c r="A23" s="1"/>
      <c r="B23" s="9">
        <v>20.0</v>
      </c>
      <c r="C23" s="6" t="s">
        <v>45</v>
      </c>
      <c r="D23" s="7" t="s">
        <v>46</v>
      </c>
      <c r="E23" s="8" t="str">
        <f>IFERROR(VLOOKUP(C23, Info!C:I, 3, FALSE), "Gsuite Not Found")</f>
        <v>fatimah.miazi@g.bracu.ac.bd</v>
      </c>
      <c r="F23" s="9">
        <v>1.0</v>
      </c>
      <c r="G23" s="9">
        <v>1.0</v>
      </c>
      <c r="H23" s="9">
        <v>1.0</v>
      </c>
      <c r="I23" s="9">
        <v>1.0</v>
      </c>
      <c r="J23" s="9">
        <v>1.0</v>
      </c>
      <c r="K23" s="9">
        <v>1.0</v>
      </c>
      <c r="L23" s="9">
        <v>1.0</v>
      </c>
      <c r="M23" s="9">
        <v>1.0</v>
      </c>
      <c r="N23" s="6" t="s">
        <v>8</v>
      </c>
      <c r="O23" s="9">
        <v>1.0</v>
      </c>
      <c r="P23" s="9">
        <v>1.0</v>
      </c>
      <c r="Q23" s="9">
        <v>1.0</v>
      </c>
      <c r="R23" s="6" t="s">
        <v>8</v>
      </c>
      <c r="S23" s="6" t="s">
        <v>8</v>
      </c>
      <c r="T23" s="9">
        <v>1.0</v>
      </c>
      <c r="U23" s="9">
        <v>1.0</v>
      </c>
      <c r="V23" s="9">
        <v>1.0</v>
      </c>
      <c r="W23" s="9">
        <v>1.0</v>
      </c>
      <c r="X23" s="9">
        <v>1.0</v>
      </c>
      <c r="Y23" s="9">
        <v>1.0</v>
      </c>
      <c r="Z23" s="9">
        <v>1.0</v>
      </c>
      <c r="AA23" s="9">
        <v>1.0</v>
      </c>
      <c r="AB23" s="6" t="s">
        <v>8</v>
      </c>
      <c r="AC23" s="1"/>
    </row>
    <row r="24" ht="15.0" customHeight="1">
      <c r="A24" s="1"/>
      <c r="B24" s="6">
        <v>21.0</v>
      </c>
      <c r="C24" s="6" t="s">
        <v>47</v>
      </c>
      <c r="D24" s="7" t="s">
        <v>48</v>
      </c>
      <c r="E24" s="8" t="str">
        <f>IFERROR(VLOOKUP(C24, Info!C:I, 3, FALSE), "Gsuite Not Found")</f>
        <v>najibah.galib.nudar@g.bracu.ac.bd</v>
      </c>
      <c r="F24" s="9">
        <v>1.0</v>
      </c>
      <c r="G24" s="9">
        <v>1.0</v>
      </c>
      <c r="H24" s="9">
        <v>1.0</v>
      </c>
      <c r="I24" s="9">
        <v>1.0</v>
      </c>
      <c r="J24" s="9">
        <v>0.0</v>
      </c>
      <c r="K24" s="9">
        <v>0.0</v>
      </c>
      <c r="L24" s="9">
        <v>1.0</v>
      </c>
      <c r="M24" s="9">
        <v>0.0</v>
      </c>
      <c r="N24" s="6" t="s">
        <v>8</v>
      </c>
      <c r="O24" s="9">
        <v>0.0</v>
      </c>
      <c r="P24" s="9">
        <v>0.0</v>
      </c>
      <c r="Q24" s="9">
        <v>0.0</v>
      </c>
      <c r="R24" s="6" t="s">
        <v>8</v>
      </c>
      <c r="S24" s="6" t="s">
        <v>8</v>
      </c>
      <c r="T24" s="9">
        <v>0.0</v>
      </c>
      <c r="U24" s="9">
        <v>0.0</v>
      </c>
      <c r="V24" s="9">
        <v>0.0</v>
      </c>
      <c r="W24" s="9">
        <v>0.0</v>
      </c>
      <c r="X24" s="9">
        <v>0.0</v>
      </c>
      <c r="Y24" s="9">
        <v>0.0</v>
      </c>
      <c r="Z24" s="9">
        <v>0.0</v>
      </c>
      <c r="AA24" s="9">
        <v>0.0</v>
      </c>
      <c r="AB24" s="6" t="s">
        <v>8</v>
      </c>
      <c r="AC24" s="1"/>
    </row>
    <row r="25" ht="15.0" customHeight="1">
      <c r="A25" s="1"/>
      <c r="B25" s="9">
        <v>22.0</v>
      </c>
      <c r="C25" s="6" t="s">
        <v>49</v>
      </c>
      <c r="D25" s="7" t="s">
        <v>50</v>
      </c>
      <c r="E25" s="8" t="str">
        <f>IFERROR(VLOOKUP(C25, Info!C:I, 3, FALSE), "Gsuite Not Found")</f>
        <v>joy.kumer.tarafder@g.bracu.ac.bd</v>
      </c>
      <c r="F25" s="9">
        <v>1.0</v>
      </c>
      <c r="G25" s="9">
        <v>1.0</v>
      </c>
      <c r="H25" s="9">
        <v>1.0</v>
      </c>
      <c r="I25" s="9">
        <v>1.0</v>
      </c>
      <c r="J25" s="9">
        <v>1.0</v>
      </c>
      <c r="K25" s="9">
        <v>1.0</v>
      </c>
      <c r="L25" s="9">
        <v>1.0</v>
      </c>
      <c r="M25" s="9">
        <v>1.0</v>
      </c>
      <c r="N25" s="6" t="s">
        <v>8</v>
      </c>
      <c r="O25" s="9">
        <v>1.0</v>
      </c>
      <c r="P25" s="9">
        <v>1.0</v>
      </c>
      <c r="Q25" s="9">
        <v>1.0</v>
      </c>
      <c r="R25" s="6" t="s">
        <v>8</v>
      </c>
      <c r="S25" s="6" t="s">
        <v>8</v>
      </c>
      <c r="T25" s="9">
        <v>1.0</v>
      </c>
      <c r="U25" s="9">
        <v>1.0</v>
      </c>
      <c r="V25" s="9">
        <v>1.0</v>
      </c>
      <c r="W25" s="9">
        <v>1.0</v>
      </c>
      <c r="X25" s="9">
        <v>1.0</v>
      </c>
      <c r="Y25" s="9">
        <v>1.0</v>
      </c>
      <c r="Z25" s="9">
        <v>1.0</v>
      </c>
      <c r="AA25" s="9">
        <v>1.0</v>
      </c>
      <c r="AB25" s="6" t="s">
        <v>8</v>
      </c>
      <c r="AC25" s="1"/>
    </row>
    <row r="26" ht="15.0" customHeight="1">
      <c r="A26" s="1"/>
      <c r="B26" s="6">
        <v>23.0</v>
      </c>
      <c r="C26" s="6" t="s">
        <v>51</v>
      </c>
      <c r="D26" s="7" t="s">
        <v>52</v>
      </c>
      <c r="E26" s="8" t="str">
        <f>IFERROR(VLOOKUP(C26, Info!C:I, 3, FALSE), "Gsuite Not Found")</f>
        <v>rahib.kibria.choudhury@g.bracu.ac.bd</v>
      </c>
      <c r="F26" s="9">
        <v>1.0</v>
      </c>
      <c r="G26" s="11">
        <v>1.0</v>
      </c>
      <c r="H26" s="9">
        <v>1.0</v>
      </c>
      <c r="I26" s="9">
        <v>1.0</v>
      </c>
      <c r="J26" s="11">
        <v>1.0</v>
      </c>
      <c r="K26" s="9">
        <v>1.0</v>
      </c>
      <c r="L26" s="9">
        <v>1.0</v>
      </c>
      <c r="M26" s="9">
        <v>1.0</v>
      </c>
      <c r="N26" s="6" t="s">
        <v>8</v>
      </c>
      <c r="O26" s="9">
        <v>1.0</v>
      </c>
      <c r="P26" s="9">
        <v>1.0</v>
      </c>
      <c r="Q26" s="9">
        <v>1.0</v>
      </c>
      <c r="R26" s="6" t="s">
        <v>8</v>
      </c>
      <c r="S26" s="6" t="s">
        <v>8</v>
      </c>
      <c r="T26" s="9">
        <v>1.0</v>
      </c>
      <c r="U26" s="9">
        <v>1.0</v>
      </c>
      <c r="V26" s="9">
        <v>1.0</v>
      </c>
      <c r="W26" s="9">
        <v>1.0</v>
      </c>
      <c r="X26" s="9">
        <v>1.0</v>
      </c>
      <c r="Y26" s="9">
        <v>1.0</v>
      </c>
      <c r="Z26" s="9">
        <v>1.0</v>
      </c>
      <c r="AA26" s="9">
        <v>1.0</v>
      </c>
      <c r="AB26" s="6" t="s">
        <v>8</v>
      </c>
      <c r="AC26" s="1"/>
    </row>
    <row r="27" ht="15.0" customHeight="1">
      <c r="A27" s="1"/>
      <c r="B27" s="9">
        <v>24.0</v>
      </c>
      <c r="C27" s="6" t="s">
        <v>53</v>
      </c>
      <c r="D27" s="7" t="s">
        <v>54</v>
      </c>
      <c r="E27" s="8" t="str">
        <f>IFERROR(VLOOKUP(C27, Info!C:I, 3, FALSE), "Gsuite Not Found")</f>
        <v>mehedi.hasan.rowdro@g.bracu.ac.bd</v>
      </c>
      <c r="F27" s="9">
        <v>1.0</v>
      </c>
      <c r="G27" s="9">
        <v>1.0</v>
      </c>
      <c r="H27" s="9">
        <v>1.0</v>
      </c>
      <c r="I27" s="9">
        <v>1.0</v>
      </c>
      <c r="J27" s="9">
        <v>1.0</v>
      </c>
      <c r="K27" s="9">
        <v>1.0</v>
      </c>
      <c r="L27" s="9">
        <v>1.0</v>
      </c>
      <c r="M27" s="9">
        <v>1.0</v>
      </c>
      <c r="N27" s="6" t="s">
        <v>8</v>
      </c>
      <c r="O27" s="9">
        <v>1.0</v>
      </c>
      <c r="P27" s="9">
        <v>0.0</v>
      </c>
      <c r="Q27" s="9">
        <v>1.0</v>
      </c>
      <c r="R27" s="6" t="s">
        <v>8</v>
      </c>
      <c r="S27" s="6" t="s">
        <v>8</v>
      </c>
      <c r="T27" s="9">
        <v>1.0</v>
      </c>
      <c r="U27" s="9">
        <v>1.0</v>
      </c>
      <c r="V27" s="11">
        <v>1.0</v>
      </c>
      <c r="W27" s="9">
        <v>1.0</v>
      </c>
      <c r="X27" s="9">
        <v>1.0</v>
      </c>
      <c r="Y27" s="9">
        <v>1.0</v>
      </c>
      <c r="Z27" s="9">
        <v>1.0</v>
      </c>
      <c r="AA27" s="9">
        <v>1.0</v>
      </c>
      <c r="AB27" s="6" t="s">
        <v>8</v>
      </c>
      <c r="AC27" s="1"/>
    </row>
    <row r="28" ht="15.0" customHeight="1">
      <c r="A28" s="1"/>
      <c r="B28" s="6">
        <v>25.0</v>
      </c>
      <c r="C28" s="6" t="s">
        <v>55</v>
      </c>
      <c r="D28" s="7" t="s">
        <v>56</v>
      </c>
      <c r="E28" s="8" t="str">
        <f>IFERROR(VLOOKUP(C28, Info!C:I, 3, FALSE), "Gsuite Not Found")</f>
        <v>mahir.shahariur@g.bracu.ac.bd</v>
      </c>
      <c r="F28" s="9">
        <v>1.0</v>
      </c>
      <c r="G28" s="9">
        <v>1.0</v>
      </c>
      <c r="H28" s="11">
        <v>1.0</v>
      </c>
      <c r="I28" s="9">
        <v>1.0</v>
      </c>
      <c r="J28" s="9">
        <v>0.0</v>
      </c>
      <c r="K28" s="9">
        <v>0.0</v>
      </c>
      <c r="L28" s="9">
        <v>1.0</v>
      </c>
      <c r="M28" s="9">
        <v>0.0</v>
      </c>
      <c r="N28" s="6" t="s">
        <v>8</v>
      </c>
      <c r="O28" s="9">
        <v>0.0</v>
      </c>
      <c r="P28" s="9">
        <v>1.0</v>
      </c>
      <c r="Q28" s="9">
        <v>0.0</v>
      </c>
      <c r="R28" s="6" t="s">
        <v>8</v>
      </c>
      <c r="S28" s="6" t="s">
        <v>8</v>
      </c>
      <c r="T28" s="9">
        <v>0.0</v>
      </c>
      <c r="U28" s="9">
        <v>1.0</v>
      </c>
      <c r="V28" s="9">
        <v>1.0</v>
      </c>
      <c r="W28" s="9">
        <v>0.0</v>
      </c>
      <c r="X28" s="9">
        <v>1.0</v>
      </c>
      <c r="Y28" s="9">
        <v>1.0</v>
      </c>
      <c r="Z28" s="9">
        <v>0.0</v>
      </c>
      <c r="AA28" s="9">
        <v>0.0</v>
      </c>
      <c r="AB28" s="6" t="s">
        <v>8</v>
      </c>
      <c r="AC28" s="1"/>
    </row>
    <row r="29" ht="15.0" customHeight="1">
      <c r="A29" s="1"/>
      <c r="B29" s="9">
        <v>26.0</v>
      </c>
      <c r="C29" s="6" t="s">
        <v>57</v>
      </c>
      <c r="D29" s="7" t="s">
        <v>58</v>
      </c>
      <c r="E29" s="8" t="str">
        <f>IFERROR(VLOOKUP(C29, Info!C:I, 3, FALSE), "Gsuite Not Found")</f>
        <v>Sadman.sakib19@g.bracu.ac.bd</v>
      </c>
      <c r="F29" s="9">
        <v>1.0</v>
      </c>
      <c r="G29" s="9">
        <v>1.0</v>
      </c>
      <c r="H29" s="9">
        <v>1.0</v>
      </c>
      <c r="I29" s="9">
        <v>1.0</v>
      </c>
      <c r="J29" s="9">
        <v>1.0</v>
      </c>
      <c r="K29" s="9">
        <v>1.0</v>
      </c>
      <c r="L29" s="9">
        <v>1.0</v>
      </c>
      <c r="M29" s="9">
        <v>1.0</v>
      </c>
      <c r="N29" s="6" t="s">
        <v>8</v>
      </c>
      <c r="O29" s="9">
        <v>1.0</v>
      </c>
      <c r="P29" s="15">
        <v>1.0</v>
      </c>
      <c r="Q29" s="9">
        <v>1.0</v>
      </c>
      <c r="R29" s="6" t="s">
        <v>8</v>
      </c>
      <c r="S29" s="6" t="s">
        <v>8</v>
      </c>
      <c r="T29" s="9">
        <v>1.0</v>
      </c>
      <c r="U29" s="9">
        <v>1.0</v>
      </c>
      <c r="V29" s="9">
        <v>1.0</v>
      </c>
      <c r="W29" s="9">
        <v>1.0</v>
      </c>
      <c r="X29" s="9">
        <v>1.0</v>
      </c>
      <c r="Y29" s="9">
        <v>1.0</v>
      </c>
      <c r="Z29" s="9">
        <v>1.0</v>
      </c>
      <c r="AA29" s="9">
        <v>1.0</v>
      </c>
      <c r="AB29" s="6" t="s">
        <v>8</v>
      </c>
      <c r="AC29" s="1"/>
    </row>
    <row r="30" ht="15.0" customHeight="1">
      <c r="A30" s="1"/>
      <c r="B30" s="6">
        <v>27.0</v>
      </c>
      <c r="C30" s="6" t="s">
        <v>59</v>
      </c>
      <c r="D30" s="7" t="s">
        <v>60</v>
      </c>
      <c r="E30" s="8" t="str">
        <f>IFERROR(VLOOKUP(C30, Info!C:I, 3, FALSE), "Gsuite Not Found")</f>
        <v>arysha.zaman@g.bracu.ac.bd</v>
      </c>
      <c r="F30" s="9">
        <v>1.0</v>
      </c>
      <c r="G30" s="9">
        <v>1.0</v>
      </c>
      <c r="H30" s="9">
        <v>1.0</v>
      </c>
      <c r="I30" s="9">
        <v>1.0</v>
      </c>
      <c r="J30" s="9">
        <v>1.0</v>
      </c>
      <c r="K30" s="9">
        <v>1.0</v>
      </c>
      <c r="L30" s="9">
        <v>1.0</v>
      </c>
      <c r="M30" s="9">
        <v>1.0</v>
      </c>
      <c r="N30" s="6" t="s">
        <v>8</v>
      </c>
      <c r="O30" s="9">
        <v>1.0</v>
      </c>
      <c r="P30" s="9">
        <v>1.0</v>
      </c>
      <c r="Q30" s="9">
        <v>1.0</v>
      </c>
      <c r="R30" s="6" t="s">
        <v>8</v>
      </c>
      <c r="S30" s="6" t="s">
        <v>8</v>
      </c>
      <c r="T30" s="9">
        <v>1.0</v>
      </c>
      <c r="U30" s="9">
        <v>1.0</v>
      </c>
      <c r="V30" s="9">
        <v>1.0</v>
      </c>
      <c r="W30" s="9">
        <v>1.0</v>
      </c>
      <c r="X30" s="9">
        <v>1.0</v>
      </c>
      <c r="Y30" s="9">
        <v>1.0</v>
      </c>
      <c r="Z30" s="9">
        <v>1.0</v>
      </c>
      <c r="AA30" s="9">
        <v>1.0</v>
      </c>
      <c r="AB30" s="6" t="s">
        <v>8</v>
      </c>
      <c r="AC30" s="1"/>
    </row>
    <row r="31" ht="15.0" customHeight="1">
      <c r="A31" s="1"/>
      <c r="B31" s="9">
        <v>28.0</v>
      </c>
      <c r="C31" s="6" t="s">
        <v>61</v>
      </c>
      <c r="D31" s="7" t="s">
        <v>62</v>
      </c>
      <c r="E31" s="8" t="str">
        <f>IFERROR(VLOOKUP(C31, Info!C:I, 3, FALSE), "Gsuite Not Found")</f>
        <v>taskin.saadman@g.bracu.ac.bd</v>
      </c>
      <c r="F31" s="9">
        <v>1.0</v>
      </c>
      <c r="G31" s="9">
        <v>1.0</v>
      </c>
      <c r="H31" s="9">
        <v>1.0</v>
      </c>
      <c r="I31" s="9">
        <v>1.0</v>
      </c>
      <c r="J31" s="9">
        <v>1.0</v>
      </c>
      <c r="K31" s="9">
        <v>1.0</v>
      </c>
      <c r="L31" s="9">
        <v>1.0</v>
      </c>
      <c r="M31" s="9">
        <v>1.0</v>
      </c>
      <c r="N31" s="6" t="s">
        <v>8</v>
      </c>
      <c r="O31" s="9">
        <v>1.0</v>
      </c>
      <c r="P31" s="9">
        <v>1.0</v>
      </c>
      <c r="Q31" s="9">
        <v>1.0</v>
      </c>
      <c r="R31" s="6" t="s">
        <v>8</v>
      </c>
      <c r="S31" s="6" t="s">
        <v>8</v>
      </c>
      <c r="T31" s="9">
        <v>1.0</v>
      </c>
      <c r="U31" s="9">
        <v>1.0</v>
      </c>
      <c r="V31" s="9">
        <v>1.0</v>
      </c>
      <c r="W31" s="9">
        <v>1.0</v>
      </c>
      <c r="X31" s="9">
        <v>0.0</v>
      </c>
      <c r="Y31" s="9">
        <v>1.0</v>
      </c>
      <c r="Z31" s="9">
        <v>1.0</v>
      </c>
      <c r="AA31" s="9">
        <v>1.0</v>
      </c>
      <c r="AB31" s="6" t="s">
        <v>8</v>
      </c>
      <c r="AC31" s="1"/>
    </row>
    <row r="32" ht="18.75" customHeight="1">
      <c r="A32" s="1"/>
      <c r="B32" s="6">
        <v>29.0</v>
      </c>
      <c r="C32" s="6" t="s">
        <v>63</v>
      </c>
      <c r="D32" s="7" t="s">
        <v>64</v>
      </c>
      <c r="E32" s="8" t="str">
        <f>IFERROR(VLOOKUP(C32, Info!C:I, 3, FALSE), "Gsuite Not Found")</f>
        <v>homaira.zaman.roshni@g.bracu.ac.bd</v>
      </c>
      <c r="F32" s="9">
        <v>1.0</v>
      </c>
      <c r="G32" s="9">
        <v>1.0</v>
      </c>
      <c r="H32" s="9">
        <v>1.0</v>
      </c>
      <c r="I32" s="9">
        <v>1.0</v>
      </c>
      <c r="J32" s="9">
        <v>1.0</v>
      </c>
      <c r="K32" s="9">
        <v>1.0</v>
      </c>
      <c r="L32" s="9">
        <v>1.0</v>
      </c>
      <c r="M32" s="9">
        <v>1.0</v>
      </c>
      <c r="N32" s="6" t="s">
        <v>8</v>
      </c>
      <c r="O32" s="9">
        <v>1.0</v>
      </c>
      <c r="P32" s="9">
        <v>1.0</v>
      </c>
      <c r="Q32" s="9">
        <v>1.0</v>
      </c>
      <c r="R32" s="6" t="s">
        <v>8</v>
      </c>
      <c r="S32" s="6" t="s">
        <v>8</v>
      </c>
      <c r="T32" s="9">
        <v>1.0</v>
      </c>
      <c r="U32" s="9">
        <v>1.0</v>
      </c>
      <c r="V32" s="9">
        <v>1.0</v>
      </c>
      <c r="W32" s="9">
        <v>1.0</v>
      </c>
      <c r="X32" s="9">
        <v>1.0</v>
      </c>
      <c r="Y32" s="9">
        <v>1.0</v>
      </c>
      <c r="Z32" s="9">
        <v>1.0</v>
      </c>
      <c r="AA32" s="9">
        <v>1.0</v>
      </c>
      <c r="AB32" s="6" t="s">
        <v>8</v>
      </c>
      <c r="AC32" s="1"/>
    </row>
    <row r="33" ht="17.25" customHeight="1">
      <c r="A33" s="1"/>
      <c r="B33" s="9">
        <v>30.0</v>
      </c>
      <c r="C33" s="6" t="s">
        <v>65</v>
      </c>
      <c r="D33" s="7" t="s">
        <v>66</v>
      </c>
      <c r="E33" s="8" t="str">
        <f>IFERROR(VLOOKUP(C33, Info!C:I, 3, FALSE), "Gsuite Not Found")</f>
        <v>khondaker.sharjeel.islam@g.bracu.ac.bd</v>
      </c>
      <c r="F33" s="9">
        <v>1.0</v>
      </c>
      <c r="G33" s="9">
        <v>1.0</v>
      </c>
      <c r="H33" s="9">
        <v>1.0</v>
      </c>
      <c r="I33" s="9">
        <v>1.0</v>
      </c>
      <c r="J33" s="9">
        <v>1.0</v>
      </c>
      <c r="K33" s="9">
        <v>1.0</v>
      </c>
      <c r="L33" s="9">
        <v>1.0</v>
      </c>
      <c r="M33" s="9">
        <v>1.0</v>
      </c>
      <c r="N33" s="6" t="s">
        <v>8</v>
      </c>
      <c r="O33" s="9">
        <v>1.0</v>
      </c>
      <c r="P33" s="9">
        <v>1.0</v>
      </c>
      <c r="Q33" s="9">
        <v>1.0</v>
      </c>
      <c r="R33" s="6" t="s">
        <v>8</v>
      </c>
      <c r="S33" s="6" t="s">
        <v>8</v>
      </c>
      <c r="T33" s="9">
        <v>1.0</v>
      </c>
      <c r="U33" s="9">
        <v>1.0</v>
      </c>
      <c r="V33" s="9">
        <v>1.0</v>
      </c>
      <c r="W33" s="9">
        <v>1.0</v>
      </c>
      <c r="X33" s="9">
        <v>1.0</v>
      </c>
      <c r="Y33" s="9">
        <v>1.0</v>
      </c>
      <c r="Z33" s="9">
        <v>1.0</v>
      </c>
      <c r="AA33" s="9">
        <v>1.0</v>
      </c>
      <c r="AB33" s="6" t="s">
        <v>8</v>
      </c>
      <c r="AC33" s="1"/>
    </row>
    <row r="34" ht="15.0" customHeight="1">
      <c r="A34" s="1"/>
      <c r="B34" s="6">
        <v>31.0</v>
      </c>
      <c r="C34" s="6" t="s">
        <v>67</v>
      </c>
      <c r="D34" s="7" t="s">
        <v>68</v>
      </c>
      <c r="E34" s="8" t="str">
        <f>IFERROR(VLOOKUP(C34, Info!C:I, 3, FALSE), "Gsuite Not Found")</f>
        <v>rifa.shanjida.adhora@g.bracu.ac.bd</v>
      </c>
      <c r="F34" s="9">
        <v>1.0</v>
      </c>
      <c r="G34" s="9">
        <v>1.0</v>
      </c>
      <c r="H34" s="9">
        <v>1.0</v>
      </c>
      <c r="I34" s="9">
        <v>1.0</v>
      </c>
      <c r="J34" s="9">
        <v>1.0</v>
      </c>
      <c r="K34" s="9">
        <v>1.0</v>
      </c>
      <c r="L34" s="9">
        <v>1.0</v>
      </c>
      <c r="M34" s="9">
        <v>1.0</v>
      </c>
      <c r="N34" s="6" t="s">
        <v>8</v>
      </c>
      <c r="O34" s="9">
        <v>1.0</v>
      </c>
      <c r="P34" s="9">
        <v>1.0</v>
      </c>
      <c r="Q34" s="9">
        <v>1.0</v>
      </c>
      <c r="R34" s="6" t="s">
        <v>8</v>
      </c>
      <c r="S34" s="6" t="s">
        <v>8</v>
      </c>
      <c r="T34" s="9">
        <v>1.0</v>
      </c>
      <c r="U34" s="9">
        <v>1.0</v>
      </c>
      <c r="V34" s="9">
        <v>1.0</v>
      </c>
      <c r="W34" s="9">
        <v>1.0</v>
      </c>
      <c r="X34" s="9">
        <v>1.0</v>
      </c>
      <c r="Y34" s="9">
        <v>1.0</v>
      </c>
      <c r="Z34" s="9">
        <v>1.0</v>
      </c>
      <c r="AA34" s="9">
        <v>1.0</v>
      </c>
      <c r="AB34" s="6" t="s">
        <v>8</v>
      </c>
      <c r="AC34" s="1"/>
    </row>
    <row r="35" ht="15.0" customHeight="1">
      <c r="A35" s="1"/>
      <c r="B35" s="9">
        <v>32.0</v>
      </c>
      <c r="C35" s="6" t="s">
        <v>69</v>
      </c>
      <c r="D35" s="7" t="s">
        <v>70</v>
      </c>
      <c r="E35" s="8" t="str">
        <f>IFERROR(VLOOKUP(C35, Info!C:I, 3, FALSE), "Gsuite Not Found")</f>
        <v>labiba.afzal@g.bracu.ac.bd</v>
      </c>
      <c r="F35" s="9">
        <v>1.0</v>
      </c>
      <c r="G35" s="9">
        <v>1.0</v>
      </c>
      <c r="H35" s="9">
        <v>1.0</v>
      </c>
      <c r="I35" s="9">
        <v>1.0</v>
      </c>
      <c r="J35" s="9">
        <v>1.0</v>
      </c>
      <c r="K35" s="9">
        <v>1.0</v>
      </c>
      <c r="L35" s="9">
        <v>1.0</v>
      </c>
      <c r="M35" s="9">
        <v>1.0</v>
      </c>
      <c r="N35" s="6" t="s">
        <v>8</v>
      </c>
      <c r="O35" s="9">
        <v>1.0</v>
      </c>
      <c r="P35" s="9">
        <v>1.0</v>
      </c>
      <c r="Q35" s="9">
        <v>1.0</v>
      </c>
      <c r="R35" s="6" t="s">
        <v>8</v>
      </c>
      <c r="S35" s="6" t="s">
        <v>8</v>
      </c>
      <c r="T35" s="9">
        <v>1.0</v>
      </c>
      <c r="U35" s="9">
        <v>1.0</v>
      </c>
      <c r="V35" s="9">
        <v>1.0</v>
      </c>
      <c r="W35" s="9">
        <v>1.0</v>
      </c>
      <c r="X35" s="9">
        <v>1.0</v>
      </c>
      <c r="Y35" s="9">
        <v>1.0</v>
      </c>
      <c r="Z35" s="9">
        <v>1.0</v>
      </c>
      <c r="AA35" s="9">
        <v>1.0</v>
      </c>
      <c r="AB35" s="6" t="s">
        <v>8</v>
      </c>
      <c r="AC35" s="1"/>
    </row>
    <row r="36" ht="15.0" customHeight="1">
      <c r="A36" s="1"/>
      <c r="B36" s="6">
        <v>33.0</v>
      </c>
      <c r="C36" s="6" t="s">
        <v>71</v>
      </c>
      <c r="D36" s="7" t="s">
        <v>72</v>
      </c>
      <c r="E36" s="8" t="str">
        <f>IFERROR(VLOOKUP(C36, Info!C:I, 3, FALSE), "Gsuite Not Found")</f>
        <v>safwan.islam1@g.bracu.ac.bd</v>
      </c>
      <c r="F36" s="9">
        <v>1.0</v>
      </c>
      <c r="G36" s="9">
        <v>1.0</v>
      </c>
      <c r="H36" s="9">
        <v>1.0</v>
      </c>
      <c r="I36" s="9">
        <v>1.0</v>
      </c>
      <c r="J36" s="9">
        <v>1.0</v>
      </c>
      <c r="K36" s="9">
        <v>1.0</v>
      </c>
      <c r="L36" s="9">
        <v>1.0</v>
      </c>
      <c r="M36" s="9">
        <v>1.0</v>
      </c>
      <c r="N36" s="6" t="s">
        <v>8</v>
      </c>
      <c r="O36" s="9">
        <v>1.0</v>
      </c>
      <c r="P36" s="9">
        <v>1.0</v>
      </c>
      <c r="Q36" s="9">
        <v>1.0</v>
      </c>
      <c r="R36" s="6" t="s">
        <v>8</v>
      </c>
      <c r="S36" s="6" t="s">
        <v>8</v>
      </c>
      <c r="T36" s="9">
        <v>1.0</v>
      </c>
      <c r="U36" s="9">
        <v>1.0</v>
      </c>
      <c r="V36" s="9">
        <v>1.0</v>
      </c>
      <c r="W36" s="9">
        <v>1.0</v>
      </c>
      <c r="X36" s="9">
        <v>1.0</v>
      </c>
      <c r="Y36" s="9">
        <v>1.0</v>
      </c>
      <c r="Z36" s="9">
        <v>1.0</v>
      </c>
      <c r="AA36" s="9">
        <v>1.0</v>
      </c>
      <c r="AB36" s="6" t="s">
        <v>8</v>
      </c>
      <c r="AC36" s="1"/>
    </row>
    <row r="37" ht="15.0" customHeight="1">
      <c r="A37" s="1"/>
      <c r="B37" s="9">
        <v>34.0</v>
      </c>
      <c r="C37" s="6" t="s">
        <v>73</v>
      </c>
      <c r="D37" s="7" t="s">
        <v>74</v>
      </c>
      <c r="E37" s="8" t="str">
        <f>IFERROR(VLOOKUP(C37, Info!C:I, 3, FALSE), "Gsuite Not Found")</f>
        <v>mushfiq.shahariar@g.bracu.ac.bd</v>
      </c>
      <c r="F37" s="9">
        <v>1.0</v>
      </c>
      <c r="G37" s="9">
        <v>1.0</v>
      </c>
      <c r="H37" s="9">
        <v>1.0</v>
      </c>
      <c r="I37" s="9">
        <v>1.0</v>
      </c>
      <c r="J37" s="9">
        <v>1.0</v>
      </c>
      <c r="K37" s="9">
        <v>1.0</v>
      </c>
      <c r="L37" s="9">
        <v>1.0</v>
      </c>
      <c r="M37" s="9">
        <v>1.0</v>
      </c>
      <c r="N37" s="6" t="s">
        <v>8</v>
      </c>
      <c r="O37" s="9">
        <v>1.0</v>
      </c>
      <c r="P37" s="9">
        <v>1.0</v>
      </c>
      <c r="Q37" s="9">
        <v>1.0</v>
      </c>
      <c r="R37" s="6" t="s">
        <v>8</v>
      </c>
      <c r="S37" s="6" t="s">
        <v>8</v>
      </c>
      <c r="T37" s="9">
        <v>1.0</v>
      </c>
      <c r="U37" s="9">
        <v>0.0</v>
      </c>
      <c r="V37" s="9">
        <v>1.0</v>
      </c>
      <c r="W37" s="9">
        <v>0.0</v>
      </c>
      <c r="X37" s="9">
        <v>0.0</v>
      </c>
      <c r="Y37" s="9">
        <v>1.0</v>
      </c>
      <c r="Z37" s="9">
        <v>0.0</v>
      </c>
      <c r="AA37" s="9">
        <v>0.0</v>
      </c>
      <c r="AB37" s="6" t="s">
        <v>8</v>
      </c>
      <c r="AC37" s="1"/>
    </row>
    <row r="38" ht="15.0" customHeight="1">
      <c r="A38" s="1"/>
      <c r="B38" s="6">
        <v>35.0</v>
      </c>
      <c r="C38" s="6" t="s">
        <v>75</v>
      </c>
      <c r="D38" s="7" t="s">
        <v>76</v>
      </c>
      <c r="E38" s="8" t="str">
        <f>IFERROR(VLOOKUP(C38, Info!C:I, 3, FALSE), "Gsuite Not Found")</f>
        <v>mh.sakline.shafiq@g.bracu.ac.bd</v>
      </c>
      <c r="F38" s="9">
        <v>1.0</v>
      </c>
      <c r="G38" s="11">
        <v>1.0</v>
      </c>
      <c r="H38" s="9">
        <v>1.0</v>
      </c>
      <c r="I38" s="9">
        <v>1.0</v>
      </c>
      <c r="J38" s="9">
        <v>1.0</v>
      </c>
      <c r="K38" s="9">
        <v>1.0</v>
      </c>
      <c r="L38" s="9">
        <v>1.0</v>
      </c>
      <c r="M38" s="9">
        <v>1.0</v>
      </c>
      <c r="N38" s="6" t="s">
        <v>8</v>
      </c>
      <c r="O38" s="9">
        <v>1.0</v>
      </c>
      <c r="P38" s="9">
        <v>1.0</v>
      </c>
      <c r="Q38" s="9">
        <v>1.0</v>
      </c>
      <c r="R38" s="6" t="s">
        <v>8</v>
      </c>
      <c r="S38" s="6" t="s">
        <v>8</v>
      </c>
      <c r="T38" s="11">
        <v>0.0</v>
      </c>
      <c r="U38" s="13">
        <v>1.0</v>
      </c>
      <c r="V38" s="13">
        <v>1.0</v>
      </c>
      <c r="W38" s="13">
        <v>1.0</v>
      </c>
      <c r="X38" s="13">
        <v>1.0</v>
      </c>
      <c r="Y38" s="13">
        <v>1.0</v>
      </c>
      <c r="Z38" s="13">
        <v>1.0</v>
      </c>
      <c r="AA38" s="13">
        <v>1.0</v>
      </c>
      <c r="AB38" s="6" t="s">
        <v>8</v>
      </c>
      <c r="AC38" s="1"/>
    </row>
    <row r="39" ht="15.0" customHeight="1">
      <c r="A39" s="1"/>
      <c r="B39" s="9">
        <v>36.0</v>
      </c>
      <c r="C39" s="6" t="s">
        <v>77</v>
      </c>
      <c r="D39" s="7" t="s">
        <v>78</v>
      </c>
      <c r="E39" s="8" t="str">
        <f>IFERROR(VLOOKUP(C39, Info!C:I, 3, FALSE), "Gsuite Not Found")</f>
        <v>sazid.hassan.alvy@g.bracu.ac.bd</v>
      </c>
      <c r="F39" s="9">
        <v>1.0</v>
      </c>
      <c r="G39" s="9">
        <v>1.0</v>
      </c>
      <c r="H39" s="9">
        <v>1.0</v>
      </c>
      <c r="I39" s="9">
        <v>1.0</v>
      </c>
      <c r="J39" s="9">
        <v>0.0</v>
      </c>
      <c r="K39" s="9">
        <v>0.0</v>
      </c>
      <c r="L39" s="9">
        <v>1.0</v>
      </c>
      <c r="M39" s="9">
        <v>0.0</v>
      </c>
      <c r="N39" s="6" t="s">
        <v>8</v>
      </c>
      <c r="O39" s="9">
        <v>0.0</v>
      </c>
      <c r="P39" s="9">
        <v>1.0</v>
      </c>
      <c r="Q39" s="9">
        <v>1.0</v>
      </c>
      <c r="R39" s="11">
        <v>1.0</v>
      </c>
      <c r="S39" s="6" t="s">
        <v>8</v>
      </c>
      <c r="T39" s="9">
        <v>0.0</v>
      </c>
      <c r="U39" s="9">
        <v>0.0</v>
      </c>
      <c r="V39" s="9">
        <v>0.0</v>
      </c>
      <c r="W39" s="9">
        <v>0.0</v>
      </c>
      <c r="X39" s="9">
        <v>0.0</v>
      </c>
      <c r="Y39" s="9">
        <v>0.0</v>
      </c>
      <c r="Z39" s="9">
        <v>0.0</v>
      </c>
      <c r="AA39" s="9">
        <v>0.0</v>
      </c>
      <c r="AB39" s="6" t="s">
        <v>8</v>
      </c>
      <c r="AC39" s="1"/>
    </row>
    <row r="40" ht="15.0" customHeight="1">
      <c r="A40" s="1"/>
      <c r="B40" s="6">
        <v>37.0</v>
      </c>
      <c r="C40" s="16" t="s">
        <v>79</v>
      </c>
      <c r="D40" s="17" t="s">
        <v>80</v>
      </c>
      <c r="E40" s="8" t="str">
        <f>IFERROR(VLOOKUP(C40, Info!C:I, 3, FALSE), "Gsuite Not Found")</f>
        <v>nafis.masrur.islam@g.bracu.ac.bd</v>
      </c>
      <c r="F40" s="9">
        <v>1.0</v>
      </c>
      <c r="G40" s="9">
        <v>1.0</v>
      </c>
      <c r="H40" s="9">
        <v>1.0</v>
      </c>
      <c r="I40" s="9">
        <v>1.0</v>
      </c>
      <c r="J40" s="11">
        <v>1.0</v>
      </c>
      <c r="K40" s="9">
        <v>1.0</v>
      </c>
      <c r="L40" s="9">
        <v>1.0</v>
      </c>
      <c r="M40" s="9">
        <v>1.0</v>
      </c>
      <c r="N40" s="6"/>
      <c r="O40" s="9">
        <v>0.0</v>
      </c>
      <c r="P40" s="9">
        <v>1.0</v>
      </c>
      <c r="Q40" s="9">
        <v>0.0</v>
      </c>
      <c r="R40" s="6"/>
      <c r="S40" s="6"/>
      <c r="T40" s="9">
        <v>1.0</v>
      </c>
      <c r="U40" s="9">
        <v>0.0</v>
      </c>
      <c r="V40" s="9">
        <v>1.0</v>
      </c>
      <c r="W40" s="9">
        <v>1.0</v>
      </c>
      <c r="X40" s="9">
        <v>0.0</v>
      </c>
      <c r="Y40" s="9">
        <v>0.0</v>
      </c>
      <c r="Z40" s="9">
        <v>0.0</v>
      </c>
      <c r="AA40" s="9">
        <v>1.0</v>
      </c>
      <c r="AB40" s="6"/>
      <c r="AC40" s="1"/>
    </row>
    <row r="41" ht="15.0" customHeight="1">
      <c r="A41" s="1"/>
      <c r="B41" s="9">
        <v>38.0</v>
      </c>
      <c r="C41" s="6" t="s">
        <v>81</v>
      </c>
      <c r="D41" s="7" t="s">
        <v>82</v>
      </c>
      <c r="E41" s="8" t="str">
        <f>IFERROR(VLOOKUP(C41, Info!C:I, 3, FALSE), "Gsuite Not Found")</f>
        <v>tasnim.ramjan@g.bracu.ac.bd</v>
      </c>
      <c r="F41" s="9">
        <v>1.0</v>
      </c>
      <c r="G41" s="9">
        <v>1.0</v>
      </c>
      <c r="H41" s="9">
        <v>1.0</v>
      </c>
      <c r="I41" s="9">
        <v>1.0</v>
      </c>
      <c r="J41" s="9">
        <v>1.0</v>
      </c>
      <c r="K41" s="9">
        <v>1.0</v>
      </c>
      <c r="L41" s="9">
        <v>1.0</v>
      </c>
      <c r="M41" s="9">
        <v>1.0</v>
      </c>
      <c r="N41" s="6" t="s">
        <v>8</v>
      </c>
      <c r="O41" s="9">
        <v>1.0</v>
      </c>
      <c r="P41" s="9">
        <v>1.0</v>
      </c>
      <c r="Q41" s="9">
        <v>1.0</v>
      </c>
      <c r="R41" s="6" t="s">
        <v>8</v>
      </c>
      <c r="S41" s="6" t="s">
        <v>8</v>
      </c>
      <c r="T41" s="9">
        <v>1.0</v>
      </c>
      <c r="U41" s="9">
        <v>1.0</v>
      </c>
      <c r="V41" s="9">
        <v>1.0</v>
      </c>
      <c r="W41" s="9">
        <v>1.0</v>
      </c>
      <c r="X41" s="9">
        <v>0.0</v>
      </c>
      <c r="Y41" s="9">
        <v>1.0</v>
      </c>
      <c r="Z41" s="9">
        <v>1.0</v>
      </c>
      <c r="AA41" s="9">
        <v>1.0</v>
      </c>
      <c r="AB41" s="6" t="s">
        <v>8</v>
      </c>
      <c r="AC41" s="1"/>
    </row>
    <row r="42" ht="12.75" customHeight="1"/>
    <row r="43" ht="12.75" customHeight="1"/>
    <row r="44" ht="12.75" customHeight="1">
      <c r="D44" s="18" t="s">
        <v>83</v>
      </c>
      <c r="F44" s="19">
        <f t="shared" ref="F44:I44" si="1">COUNTIF(F5:F43,1)</f>
        <v>37</v>
      </c>
      <c r="G44" s="19">
        <f t="shared" si="1"/>
        <v>36</v>
      </c>
      <c r="H44" s="19">
        <f t="shared" si="1"/>
        <v>37</v>
      </c>
      <c r="I44" s="19">
        <f t="shared" si="1"/>
        <v>37</v>
      </c>
      <c r="J44" s="19">
        <f t="shared" ref="J44:AA44" si="2">COUNTIF(J5:J42,1)</f>
        <v>34</v>
      </c>
      <c r="K44" s="19">
        <f t="shared" si="2"/>
        <v>34</v>
      </c>
      <c r="L44" s="19">
        <f t="shared" si="2"/>
        <v>37</v>
      </c>
      <c r="M44" s="19">
        <f t="shared" si="2"/>
        <v>32</v>
      </c>
      <c r="N44" s="19">
        <f t="shared" si="2"/>
        <v>0</v>
      </c>
      <c r="O44" s="19">
        <f t="shared" si="2"/>
        <v>31</v>
      </c>
      <c r="P44" s="19">
        <f t="shared" si="2"/>
        <v>31</v>
      </c>
      <c r="Q44" s="19">
        <f t="shared" si="2"/>
        <v>31</v>
      </c>
      <c r="R44" s="19">
        <f t="shared" si="2"/>
        <v>1</v>
      </c>
      <c r="S44" s="19">
        <f t="shared" si="2"/>
        <v>0</v>
      </c>
      <c r="T44" s="19">
        <f t="shared" si="2"/>
        <v>29</v>
      </c>
      <c r="U44" s="19">
        <f t="shared" si="2"/>
        <v>31</v>
      </c>
      <c r="V44" s="19">
        <f t="shared" si="2"/>
        <v>31</v>
      </c>
      <c r="W44" s="19">
        <f t="shared" si="2"/>
        <v>26</v>
      </c>
      <c r="X44" s="19">
        <f t="shared" si="2"/>
        <v>23</v>
      </c>
      <c r="Y44" s="19">
        <f t="shared" si="2"/>
        <v>30</v>
      </c>
      <c r="Z44" s="19">
        <f t="shared" si="2"/>
        <v>28</v>
      </c>
      <c r="AA44" s="19">
        <f t="shared" si="2"/>
        <v>28</v>
      </c>
    </row>
    <row r="45" ht="12.75" customHeight="1"/>
    <row r="46" ht="12.75" customHeight="1"/>
    <row r="47" ht="12.75" customHeight="1"/>
    <row r="48" ht="12.75" customHeight="1"/>
    <row r="49" ht="15.0" customHeight="1">
      <c r="A49" s="1"/>
      <c r="B49" s="6">
        <v>2.0</v>
      </c>
      <c r="C49" s="6" t="s">
        <v>84</v>
      </c>
      <c r="D49" s="7" t="s">
        <v>85</v>
      </c>
      <c r="E49" s="20" t="str">
        <f>IFERROR(VLOOKUP(C49, Info!C:I, 3, FALSE), "Gsuite Not Found")</f>
        <v>morshedur.rahman@g.bracu.ac.bd</v>
      </c>
      <c r="F49" s="9">
        <v>1.0</v>
      </c>
      <c r="G49" s="9">
        <v>1.0</v>
      </c>
      <c r="H49" s="9">
        <v>1.0</v>
      </c>
      <c r="I49" s="9">
        <v>1.0</v>
      </c>
      <c r="J49" s="9">
        <v>0.0</v>
      </c>
      <c r="K49" s="9">
        <v>0.0</v>
      </c>
      <c r="L49" s="9">
        <v>0.0</v>
      </c>
      <c r="M49" s="9">
        <v>0.0</v>
      </c>
      <c r="N49" s="6" t="s">
        <v>8</v>
      </c>
      <c r="O49" s="9">
        <v>0.0</v>
      </c>
      <c r="P49" s="6" t="s">
        <v>8</v>
      </c>
      <c r="Q49" s="6" t="s">
        <v>8</v>
      </c>
      <c r="R49" s="6" t="s">
        <v>8</v>
      </c>
      <c r="S49" s="6" t="s">
        <v>8</v>
      </c>
      <c r="T49" s="6" t="s">
        <v>8</v>
      </c>
      <c r="U49" s="6"/>
      <c r="V49" s="6"/>
      <c r="W49" s="6"/>
      <c r="X49" s="6"/>
      <c r="Y49" s="6"/>
      <c r="Z49" s="6"/>
      <c r="AA49" s="6"/>
      <c r="AB49" s="6" t="s">
        <v>8</v>
      </c>
      <c r="AC49" s="1"/>
    </row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2">
    <mergeCell ref="B1:AB1"/>
    <mergeCell ref="B2:AB2"/>
  </mergeCells>
  <conditionalFormatting sqref="F4:AA41 F49:AA49">
    <cfRule type="cellIs" dxfId="0" priority="1" operator="equal">
      <formula>0</formula>
    </cfRule>
  </conditionalFormatting>
  <conditionalFormatting sqref="E4:E41 E49">
    <cfRule type="cellIs" dxfId="0" priority="2" operator="equal">
      <formula>"Gsuite Not Found"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1" t="s">
        <v>86</v>
      </c>
      <c r="B1" s="21" t="s">
        <v>87</v>
      </c>
      <c r="C1" s="22" t="s">
        <v>88</v>
      </c>
      <c r="D1" s="21" t="s">
        <v>89</v>
      </c>
      <c r="E1" s="21" t="s">
        <v>90</v>
      </c>
      <c r="F1" s="21" t="s">
        <v>91</v>
      </c>
      <c r="G1" s="21" t="s">
        <v>92</v>
      </c>
      <c r="H1" s="21" t="s">
        <v>93</v>
      </c>
      <c r="I1" s="23" t="s">
        <v>94</v>
      </c>
    </row>
    <row r="2">
      <c r="A2" s="24">
        <v>45312.40953333333</v>
      </c>
      <c r="B2" s="21" t="s">
        <v>95</v>
      </c>
      <c r="C2" s="22" t="s">
        <v>61</v>
      </c>
      <c r="D2" s="21" t="s">
        <v>96</v>
      </c>
      <c r="E2" s="21" t="s">
        <v>95</v>
      </c>
      <c r="F2" s="21" t="s">
        <v>97</v>
      </c>
      <c r="G2" s="21" t="s">
        <v>98</v>
      </c>
      <c r="H2" s="21" t="s">
        <v>99</v>
      </c>
      <c r="I2" s="23" t="s">
        <v>100</v>
      </c>
    </row>
    <row r="3">
      <c r="A3" s="24">
        <v>45312.41055840278</v>
      </c>
      <c r="B3" s="21" t="s">
        <v>101</v>
      </c>
      <c r="C3" s="22" t="s">
        <v>15</v>
      </c>
      <c r="D3" s="21" t="s">
        <v>102</v>
      </c>
      <c r="E3" s="21" t="s">
        <v>101</v>
      </c>
      <c r="F3" s="21" t="s">
        <v>103</v>
      </c>
      <c r="G3" s="21" t="s">
        <v>104</v>
      </c>
      <c r="H3" s="21" t="s">
        <v>105</v>
      </c>
      <c r="I3" s="23" t="s">
        <v>106</v>
      </c>
    </row>
    <row r="4">
      <c r="A4" s="24">
        <v>45312.41061060185</v>
      </c>
      <c r="B4" s="21" t="s">
        <v>107</v>
      </c>
      <c r="C4" s="22" t="s">
        <v>55</v>
      </c>
      <c r="D4" s="21" t="s">
        <v>108</v>
      </c>
      <c r="E4" s="21" t="s">
        <v>109</v>
      </c>
      <c r="F4" s="21" t="s">
        <v>110</v>
      </c>
      <c r="G4" s="21" t="s">
        <v>111</v>
      </c>
      <c r="H4" s="21" t="s">
        <v>112</v>
      </c>
      <c r="I4" s="23" t="s">
        <v>113</v>
      </c>
    </row>
    <row r="5">
      <c r="A5" s="24">
        <v>45312.410693136575</v>
      </c>
      <c r="B5" s="21" t="s">
        <v>114</v>
      </c>
      <c r="C5" s="22" t="s">
        <v>57</v>
      </c>
      <c r="D5" s="21" t="s">
        <v>115</v>
      </c>
      <c r="E5" s="21" t="s">
        <v>116</v>
      </c>
      <c r="F5" s="21" t="s">
        <v>117</v>
      </c>
      <c r="G5" s="21" t="s">
        <v>118</v>
      </c>
      <c r="H5" s="21"/>
      <c r="I5" s="23" t="s">
        <v>119</v>
      </c>
    </row>
    <row r="6">
      <c r="A6" s="24">
        <v>45312.410693240745</v>
      </c>
      <c r="B6" s="21" t="s">
        <v>120</v>
      </c>
      <c r="C6" s="22" t="s">
        <v>23</v>
      </c>
      <c r="D6" s="21" t="s">
        <v>121</v>
      </c>
      <c r="E6" s="21" t="s">
        <v>122</v>
      </c>
      <c r="F6" s="21" t="s">
        <v>123</v>
      </c>
      <c r="G6" s="21" t="s">
        <v>124</v>
      </c>
      <c r="H6" s="21" t="s">
        <v>125</v>
      </c>
      <c r="I6" s="23" t="s">
        <v>126</v>
      </c>
    </row>
    <row r="7">
      <c r="A7" s="24">
        <v>45312.41086412037</v>
      </c>
      <c r="B7" s="21" t="s">
        <v>127</v>
      </c>
      <c r="C7" s="22" t="s">
        <v>9</v>
      </c>
      <c r="D7" s="21" t="s">
        <v>128</v>
      </c>
      <c r="E7" s="21" t="s">
        <v>127</v>
      </c>
      <c r="F7" s="21" t="s">
        <v>129</v>
      </c>
      <c r="G7" s="21" t="s">
        <v>130</v>
      </c>
      <c r="H7" s="21" t="s">
        <v>131</v>
      </c>
      <c r="I7" s="23" t="s">
        <v>132</v>
      </c>
    </row>
    <row r="8">
      <c r="A8" s="24">
        <v>45312.41090461805</v>
      </c>
      <c r="B8" s="21" t="s">
        <v>133</v>
      </c>
      <c r="C8" s="22" t="s">
        <v>65</v>
      </c>
      <c r="D8" s="21" t="s">
        <v>134</v>
      </c>
      <c r="E8" s="23" t="s">
        <v>133</v>
      </c>
      <c r="F8" s="21"/>
      <c r="G8" s="21" t="s">
        <v>135</v>
      </c>
      <c r="H8" s="21" t="s">
        <v>136</v>
      </c>
      <c r="I8" s="23" t="s">
        <v>137</v>
      </c>
    </row>
    <row r="9">
      <c r="A9" s="24">
        <v>45312.41120381944</v>
      </c>
      <c r="B9" s="21" t="s">
        <v>138</v>
      </c>
      <c r="C9" s="22" t="s">
        <v>43</v>
      </c>
      <c r="D9" s="21" t="s">
        <v>139</v>
      </c>
      <c r="E9" s="21" t="s">
        <v>140</v>
      </c>
      <c r="F9" s="21" t="s">
        <v>141</v>
      </c>
      <c r="G9" s="21"/>
      <c r="H9" s="21" t="s">
        <v>142</v>
      </c>
      <c r="I9" s="23" t="s">
        <v>143</v>
      </c>
    </row>
    <row r="10">
      <c r="A10" s="24">
        <v>45312.41145702546</v>
      </c>
      <c r="B10" s="21" t="s">
        <v>144</v>
      </c>
      <c r="C10" s="22" t="s">
        <v>13</v>
      </c>
      <c r="D10" s="21" t="s">
        <v>145</v>
      </c>
      <c r="E10" s="21" t="s">
        <v>146</v>
      </c>
      <c r="F10" s="21" t="s">
        <v>147</v>
      </c>
      <c r="G10" s="21" t="s">
        <v>148</v>
      </c>
      <c r="H10" s="21" t="s">
        <v>149</v>
      </c>
      <c r="I10" s="23" t="s">
        <v>150</v>
      </c>
    </row>
    <row r="11">
      <c r="A11" s="24">
        <v>45312.41228512731</v>
      </c>
      <c r="B11" s="21" t="s">
        <v>151</v>
      </c>
      <c r="C11" s="22" t="s">
        <v>53</v>
      </c>
      <c r="D11" s="21" t="s">
        <v>152</v>
      </c>
      <c r="E11" s="21" t="s">
        <v>153</v>
      </c>
      <c r="F11" s="21" t="s">
        <v>154</v>
      </c>
      <c r="G11" s="21" t="s">
        <v>155</v>
      </c>
      <c r="H11" s="21"/>
      <c r="I11" s="23" t="s">
        <v>156</v>
      </c>
    </row>
    <row r="12">
      <c r="A12" s="24">
        <v>45312.41231461806</v>
      </c>
      <c r="B12" s="21" t="s">
        <v>157</v>
      </c>
      <c r="C12" s="22" t="s">
        <v>71</v>
      </c>
      <c r="D12" s="21" t="s">
        <v>158</v>
      </c>
      <c r="E12" s="23" t="s">
        <v>157</v>
      </c>
      <c r="F12" s="21"/>
      <c r="G12" s="21" t="s">
        <v>159</v>
      </c>
      <c r="H12" s="21" t="s">
        <v>160</v>
      </c>
      <c r="I12" s="23" t="s">
        <v>161</v>
      </c>
    </row>
    <row r="13">
      <c r="A13" s="24">
        <v>45312.41252381944</v>
      </c>
      <c r="B13" s="21" t="s">
        <v>162</v>
      </c>
      <c r="C13" s="22" t="s">
        <v>77</v>
      </c>
      <c r="D13" s="21" t="s">
        <v>163</v>
      </c>
      <c r="E13" s="21" t="s">
        <v>164</v>
      </c>
      <c r="F13" s="21" t="s">
        <v>165</v>
      </c>
      <c r="G13" s="21" t="s">
        <v>166</v>
      </c>
      <c r="H13" s="21" t="s">
        <v>167</v>
      </c>
      <c r="I13" s="23" t="s">
        <v>168</v>
      </c>
    </row>
    <row r="14">
      <c r="A14" s="24">
        <v>45312.412550486115</v>
      </c>
      <c r="B14" s="21" t="s">
        <v>169</v>
      </c>
      <c r="C14" s="22" t="s">
        <v>47</v>
      </c>
      <c r="D14" s="21" t="s">
        <v>170</v>
      </c>
      <c r="E14" s="21" t="s">
        <v>169</v>
      </c>
      <c r="F14" s="21" t="s">
        <v>171</v>
      </c>
      <c r="G14" s="21" t="s">
        <v>172</v>
      </c>
      <c r="H14" s="21" t="s">
        <v>173</v>
      </c>
      <c r="I14" s="23" t="s">
        <v>174</v>
      </c>
    </row>
    <row r="15">
      <c r="A15" s="24">
        <v>45312.41288203704</v>
      </c>
      <c r="B15" s="21" t="s">
        <v>175</v>
      </c>
      <c r="C15" s="22" t="s">
        <v>39</v>
      </c>
      <c r="D15" s="21" t="s">
        <v>176</v>
      </c>
      <c r="E15" s="21" t="s">
        <v>177</v>
      </c>
      <c r="F15" s="21" t="s">
        <v>178</v>
      </c>
      <c r="G15" s="21" t="s">
        <v>179</v>
      </c>
      <c r="H15" s="21" t="s">
        <v>180</v>
      </c>
      <c r="I15" s="23" t="s">
        <v>181</v>
      </c>
    </row>
    <row r="16">
      <c r="A16" s="24">
        <v>45312.413980833335</v>
      </c>
      <c r="B16" s="21" t="s">
        <v>182</v>
      </c>
      <c r="C16" s="22" t="s">
        <v>41</v>
      </c>
      <c r="D16" s="21" t="s">
        <v>42</v>
      </c>
      <c r="E16" s="21" t="s">
        <v>182</v>
      </c>
      <c r="F16" s="21" t="s">
        <v>183</v>
      </c>
      <c r="G16" s="21" t="s">
        <v>184</v>
      </c>
      <c r="H16" s="21" t="s">
        <v>185</v>
      </c>
      <c r="I16" s="21" t="s">
        <v>186</v>
      </c>
    </row>
    <row r="17">
      <c r="A17" s="24">
        <v>45312.414336539354</v>
      </c>
      <c r="B17" s="21" t="s">
        <v>187</v>
      </c>
      <c r="C17" s="22" t="s">
        <v>19</v>
      </c>
      <c r="D17" s="21" t="s">
        <v>188</v>
      </c>
      <c r="E17" s="21" t="s">
        <v>189</v>
      </c>
      <c r="F17" s="21" t="s">
        <v>190</v>
      </c>
      <c r="G17" s="21" t="s">
        <v>191</v>
      </c>
      <c r="H17" s="21" t="s">
        <v>192</v>
      </c>
      <c r="I17" s="23" t="s">
        <v>193</v>
      </c>
    </row>
    <row r="18">
      <c r="A18" s="24">
        <v>45312.414917291666</v>
      </c>
      <c r="B18" s="21" t="s">
        <v>194</v>
      </c>
      <c r="C18" s="22" t="s">
        <v>81</v>
      </c>
      <c r="D18" s="21" t="s">
        <v>195</v>
      </c>
      <c r="E18" s="23" t="s">
        <v>196</v>
      </c>
      <c r="F18" s="21"/>
      <c r="G18" s="21" t="s">
        <v>197</v>
      </c>
      <c r="H18" s="21" t="s">
        <v>198</v>
      </c>
      <c r="I18" s="23" t="s">
        <v>199</v>
      </c>
    </row>
    <row r="19">
      <c r="A19" s="24">
        <v>45312.41549061342</v>
      </c>
      <c r="B19" s="21" t="s">
        <v>200</v>
      </c>
      <c r="C19" s="22" t="s">
        <v>35</v>
      </c>
      <c r="D19" s="21" t="s">
        <v>201</v>
      </c>
      <c r="E19" s="23" t="s">
        <v>202</v>
      </c>
      <c r="F19" s="21"/>
      <c r="G19" s="21" t="s">
        <v>203</v>
      </c>
      <c r="H19" s="21" t="s">
        <v>204</v>
      </c>
      <c r="I19" s="23" t="s">
        <v>205</v>
      </c>
    </row>
    <row r="20">
      <c r="A20" s="24">
        <v>45312.41580407407</v>
      </c>
      <c r="B20" s="21" t="s">
        <v>206</v>
      </c>
      <c r="C20" s="22" t="s">
        <v>29</v>
      </c>
      <c r="D20" s="21" t="s">
        <v>207</v>
      </c>
      <c r="E20" s="21" t="s">
        <v>208</v>
      </c>
      <c r="F20" s="21" t="s">
        <v>209</v>
      </c>
      <c r="G20" s="21" t="s">
        <v>210</v>
      </c>
      <c r="H20" s="21" t="s">
        <v>211</v>
      </c>
      <c r="I20" s="23" t="s">
        <v>212</v>
      </c>
    </row>
    <row r="21">
      <c r="A21" s="24">
        <v>45312.4159244676</v>
      </c>
      <c r="B21" s="21" t="s">
        <v>213</v>
      </c>
      <c r="C21" s="22" t="s">
        <v>6</v>
      </c>
      <c r="D21" s="21" t="s">
        <v>7</v>
      </c>
      <c r="E21" s="21" t="s">
        <v>214</v>
      </c>
      <c r="F21" s="21" t="s">
        <v>215</v>
      </c>
      <c r="G21" s="21" t="s">
        <v>135</v>
      </c>
      <c r="H21" s="21" t="s">
        <v>216</v>
      </c>
      <c r="I21" s="23" t="s">
        <v>217</v>
      </c>
    </row>
    <row r="22">
      <c r="A22" s="24">
        <v>45312.416096562505</v>
      </c>
      <c r="B22" s="21" t="s">
        <v>218</v>
      </c>
      <c r="C22" s="22" t="s">
        <v>25</v>
      </c>
      <c r="D22" s="21" t="s">
        <v>219</v>
      </c>
      <c r="E22" s="23" t="s">
        <v>220</v>
      </c>
      <c r="F22" s="21"/>
      <c r="G22" s="21" t="s">
        <v>221</v>
      </c>
      <c r="H22" s="21" t="s">
        <v>222</v>
      </c>
      <c r="I22" s="23" t="s">
        <v>223</v>
      </c>
    </row>
    <row r="23">
      <c r="A23" s="24">
        <v>45312.4160996875</v>
      </c>
      <c r="B23" s="21" t="s">
        <v>224</v>
      </c>
      <c r="C23" s="22" t="s">
        <v>31</v>
      </c>
      <c r="D23" s="21" t="s">
        <v>225</v>
      </c>
      <c r="E23" s="23" t="s">
        <v>226</v>
      </c>
      <c r="F23" s="21"/>
      <c r="G23" s="21"/>
      <c r="H23" s="21"/>
      <c r="I23" s="23" t="s">
        <v>227</v>
      </c>
    </row>
    <row r="24">
      <c r="A24" s="24">
        <v>45312.4161834375</v>
      </c>
      <c r="B24" s="21" t="s">
        <v>228</v>
      </c>
      <c r="C24" s="22" t="s">
        <v>11</v>
      </c>
      <c r="D24" s="21" t="s">
        <v>229</v>
      </c>
      <c r="E24" s="21" t="s">
        <v>230</v>
      </c>
      <c r="F24" s="21" t="s">
        <v>231</v>
      </c>
      <c r="G24" s="21" t="s">
        <v>232</v>
      </c>
      <c r="H24" s="21" t="s">
        <v>233</v>
      </c>
      <c r="I24" s="23" t="s">
        <v>234</v>
      </c>
    </row>
    <row r="25">
      <c r="A25" s="24">
        <v>45312.41618833333</v>
      </c>
      <c r="B25" s="21" t="s">
        <v>235</v>
      </c>
      <c r="C25" s="22" t="s">
        <v>21</v>
      </c>
      <c r="D25" s="21" t="s">
        <v>236</v>
      </c>
      <c r="E25" s="21" t="s">
        <v>235</v>
      </c>
      <c r="F25" s="21" t="s">
        <v>237</v>
      </c>
      <c r="G25" s="21" t="s">
        <v>238</v>
      </c>
      <c r="H25" s="21" t="s">
        <v>239</v>
      </c>
      <c r="I25" s="23" t="s">
        <v>240</v>
      </c>
    </row>
    <row r="26">
      <c r="A26" s="24">
        <v>45312.416407233795</v>
      </c>
      <c r="B26" s="21" t="s">
        <v>241</v>
      </c>
      <c r="C26" s="22" t="s">
        <v>75</v>
      </c>
      <c r="D26" s="21" t="s">
        <v>242</v>
      </c>
      <c r="E26" s="21" t="s">
        <v>243</v>
      </c>
      <c r="F26" s="21" t="s">
        <v>244</v>
      </c>
      <c r="G26" s="21" t="s">
        <v>245</v>
      </c>
      <c r="H26" s="21" t="s">
        <v>246</v>
      </c>
      <c r="I26" s="23" t="s">
        <v>247</v>
      </c>
    </row>
    <row r="27">
      <c r="A27" s="24">
        <v>45312.416437719905</v>
      </c>
      <c r="B27" s="21" t="s">
        <v>248</v>
      </c>
      <c r="C27" s="22" t="s">
        <v>37</v>
      </c>
      <c r="D27" s="21" t="s">
        <v>249</v>
      </c>
      <c r="E27" s="21" t="s">
        <v>250</v>
      </c>
      <c r="F27" s="21" t="s">
        <v>251</v>
      </c>
      <c r="G27" s="21" t="s">
        <v>252</v>
      </c>
      <c r="H27" s="21" t="s">
        <v>253</v>
      </c>
      <c r="I27" s="23" t="s">
        <v>254</v>
      </c>
    </row>
    <row r="28">
      <c r="A28" s="24">
        <v>45312.41717642361</v>
      </c>
      <c r="B28" s="21" t="s">
        <v>255</v>
      </c>
      <c r="C28" s="22" t="s">
        <v>49</v>
      </c>
      <c r="D28" s="21" t="s">
        <v>256</v>
      </c>
      <c r="E28" s="21" t="s">
        <v>257</v>
      </c>
      <c r="F28" s="21" t="s">
        <v>258</v>
      </c>
      <c r="G28" s="21" t="s">
        <v>259</v>
      </c>
      <c r="H28" s="21" t="s">
        <v>260</v>
      </c>
      <c r="I28" s="23" t="s">
        <v>261</v>
      </c>
    </row>
    <row r="29">
      <c r="A29" s="24">
        <v>45312.417332384255</v>
      </c>
      <c r="B29" s="21" t="s">
        <v>262</v>
      </c>
      <c r="C29" s="22" t="s">
        <v>63</v>
      </c>
      <c r="D29" s="21" t="s">
        <v>263</v>
      </c>
      <c r="E29" s="21" t="s">
        <v>262</v>
      </c>
      <c r="F29" s="21" t="s">
        <v>264</v>
      </c>
      <c r="G29" s="21" t="s">
        <v>265</v>
      </c>
      <c r="H29" s="21" t="s">
        <v>266</v>
      </c>
      <c r="I29" s="23" t="s">
        <v>267</v>
      </c>
    </row>
    <row r="30">
      <c r="A30" s="24">
        <v>45312.417345243055</v>
      </c>
      <c r="B30" s="21" t="s">
        <v>268</v>
      </c>
      <c r="C30" s="22" t="s">
        <v>17</v>
      </c>
      <c r="D30" s="21" t="s">
        <v>269</v>
      </c>
      <c r="E30" s="21" t="s">
        <v>270</v>
      </c>
      <c r="F30" s="21" t="s">
        <v>183</v>
      </c>
      <c r="G30" s="21" t="s">
        <v>271</v>
      </c>
      <c r="H30" s="21" t="s">
        <v>272</v>
      </c>
      <c r="I30" s="23" t="s">
        <v>273</v>
      </c>
    </row>
    <row r="31">
      <c r="A31" s="24">
        <v>45312.417781516204</v>
      </c>
      <c r="B31" s="21" t="s">
        <v>274</v>
      </c>
      <c r="C31" s="22" t="s">
        <v>59</v>
      </c>
      <c r="D31" s="21" t="s">
        <v>275</v>
      </c>
      <c r="E31" s="21" t="s">
        <v>274</v>
      </c>
      <c r="F31" s="21" t="s">
        <v>276</v>
      </c>
      <c r="G31" s="21" t="s">
        <v>203</v>
      </c>
      <c r="H31" s="21" t="s">
        <v>277</v>
      </c>
      <c r="I31" s="23" t="s">
        <v>278</v>
      </c>
    </row>
    <row r="32">
      <c r="A32" s="24">
        <v>45312.41825048611</v>
      </c>
      <c r="B32" s="21" t="s">
        <v>279</v>
      </c>
      <c r="C32" s="22" t="s">
        <v>67</v>
      </c>
      <c r="D32" s="21" t="s">
        <v>280</v>
      </c>
      <c r="E32" s="21" t="s">
        <v>281</v>
      </c>
      <c r="F32" s="21" t="s">
        <v>282</v>
      </c>
      <c r="G32" s="21" t="s">
        <v>283</v>
      </c>
      <c r="H32" s="21" t="s">
        <v>284</v>
      </c>
      <c r="I32" s="23" t="s">
        <v>285</v>
      </c>
    </row>
    <row r="33">
      <c r="A33" s="24">
        <v>45312.4195000926</v>
      </c>
      <c r="B33" s="21" t="s">
        <v>286</v>
      </c>
      <c r="C33" s="22" t="s">
        <v>73</v>
      </c>
      <c r="D33" s="21" t="s">
        <v>287</v>
      </c>
      <c r="E33" s="23" t="s">
        <v>286</v>
      </c>
      <c r="F33" s="21"/>
      <c r="G33" s="21" t="s">
        <v>288</v>
      </c>
      <c r="H33" s="21" t="s">
        <v>289</v>
      </c>
      <c r="I33" s="23" t="s">
        <v>290</v>
      </c>
    </row>
    <row r="34">
      <c r="A34" s="24">
        <v>45312.42015708333</v>
      </c>
      <c r="B34" s="21" t="s">
        <v>291</v>
      </c>
      <c r="C34" s="22" t="s">
        <v>45</v>
      </c>
      <c r="D34" s="21" t="s">
        <v>292</v>
      </c>
      <c r="E34" s="21" t="s">
        <v>293</v>
      </c>
      <c r="F34" s="21" t="s">
        <v>294</v>
      </c>
      <c r="G34" s="21" t="s">
        <v>295</v>
      </c>
      <c r="H34" s="21"/>
      <c r="I34" s="23" t="s">
        <v>296</v>
      </c>
    </row>
    <row r="35">
      <c r="A35" s="24">
        <v>45312.42074018519</v>
      </c>
      <c r="B35" s="21" t="s">
        <v>297</v>
      </c>
      <c r="C35" s="22" t="s">
        <v>27</v>
      </c>
      <c r="D35" s="21" t="s">
        <v>28</v>
      </c>
      <c r="E35" s="23" t="s">
        <v>298</v>
      </c>
      <c r="F35" s="21"/>
      <c r="G35" s="21" t="s">
        <v>299</v>
      </c>
      <c r="H35" s="21" t="s">
        <v>300</v>
      </c>
      <c r="I35" s="23" t="s">
        <v>301</v>
      </c>
    </row>
    <row r="36">
      <c r="A36" s="24">
        <v>45312.421840104165</v>
      </c>
      <c r="B36" s="21" t="s">
        <v>302</v>
      </c>
      <c r="C36" s="22" t="s">
        <v>33</v>
      </c>
      <c r="D36" s="21" t="s">
        <v>303</v>
      </c>
      <c r="E36" s="25" t="s">
        <v>304</v>
      </c>
      <c r="F36" s="21" t="s">
        <v>305</v>
      </c>
      <c r="G36" s="21" t="s">
        <v>306</v>
      </c>
      <c r="H36" s="21" t="s">
        <v>307</v>
      </c>
      <c r="I36" s="21" t="s">
        <v>308</v>
      </c>
    </row>
    <row r="37">
      <c r="A37" s="24">
        <v>45312.81092959491</v>
      </c>
      <c r="B37" s="21" t="s">
        <v>309</v>
      </c>
      <c r="C37" s="22" t="s">
        <v>51</v>
      </c>
      <c r="D37" s="21" t="s">
        <v>310</v>
      </c>
      <c r="E37" s="21" t="s">
        <v>311</v>
      </c>
      <c r="F37" s="21" t="s">
        <v>312</v>
      </c>
      <c r="G37" s="21" t="s">
        <v>135</v>
      </c>
      <c r="H37" s="21" t="s">
        <v>313</v>
      </c>
      <c r="I37" s="23" t="s">
        <v>314</v>
      </c>
    </row>
    <row r="38">
      <c r="A38" s="24">
        <v>45313.63662994213</v>
      </c>
      <c r="B38" s="21" t="s">
        <v>315</v>
      </c>
      <c r="C38" s="22" t="s">
        <v>69</v>
      </c>
      <c r="D38" s="21" t="s">
        <v>316</v>
      </c>
      <c r="E38" s="21" t="s">
        <v>317</v>
      </c>
      <c r="F38" s="21" t="s">
        <v>318</v>
      </c>
      <c r="G38" s="21" t="s">
        <v>135</v>
      </c>
      <c r="H38" s="21" t="s">
        <v>319</v>
      </c>
      <c r="I38" s="23" t="s">
        <v>320</v>
      </c>
    </row>
    <row r="39">
      <c r="A39" s="24">
        <v>45313.67560640046</v>
      </c>
      <c r="B39" s="21" t="s">
        <v>321</v>
      </c>
      <c r="C39" s="22" t="s">
        <v>84</v>
      </c>
      <c r="D39" s="21" t="s">
        <v>322</v>
      </c>
      <c r="E39" s="25" t="s">
        <v>321</v>
      </c>
      <c r="F39" s="21" t="s">
        <v>323</v>
      </c>
      <c r="G39" s="21" t="s">
        <v>324</v>
      </c>
      <c r="H39" s="21" t="s">
        <v>325</v>
      </c>
      <c r="I39" s="21" t="s">
        <v>326</v>
      </c>
    </row>
    <row r="40">
      <c r="A40" s="26">
        <v>45319.4606925463</v>
      </c>
      <c r="B40" s="27" t="s">
        <v>327</v>
      </c>
      <c r="C40" s="28" t="s">
        <v>79</v>
      </c>
      <c r="D40" s="27" t="s">
        <v>80</v>
      </c>
      <c r="E40" s="27" t="s">
        <v>327</v>
      </c>
      <c r="F40" s="27" t="s">
        <v>190</v>
      </c>
      <c r="G40" s="27" t="s">
        <v>328</v>
      </c>
      <c r="H40" s="27" t="s">
        <v>329</v>
      </c>
      <c r="I40" s="27" t="s">
        <v>330</v>
      </c>
    </row>
    <row r="41">
      <c r="C41" s="28"/>
    </row>
    <row r="42">
      <c r="C42" s="28"/>
    </row>
    <row r="43">
      <c r="C43" s="28"/>
    </row>
    <row r="44">
      <c r="C44" s="28"/>
    </row>
    <row r="45">
      <c r="C45" s="28"/>
    </row>
    <row r="46">
      <c r="C46" s="28"/>
    </row>
    <row r="47">
      <c r="C47" s="28"/>
    </row>
    <row r="48">
      <c r="C48" s="28"/>
    </row>
    <row r="49">
      <c r="C49" s="28"/>
    </row>
    <row r="50">
      <c r="C50" s="28"/>
    </row>
    <row r="51">
      <c r="C51" s="28"/>
    </row>
    <row r="52">
      <c r="C52" s="28"/>
    </row>
    <row r="53">
      <c r="C53" s="28"/>
    </row>
    <row r="54">
      <c r="C54" s="28"/>
    </row>
    <row r="55">
      <c r="C55" s="28"/>
    </row>
    <row r="56">
      <c r="C56" s="28"/>
    </row>
    <row r="57">
      <c r="C57" s="28"/>
    </row>
    <row r="58">
      <c r="C58" s="28"/>
    </row>
    <row r="59">
      <c r="C59" s="28"/>
    </row>
    <row r="60">
      <c r="C60" s="28"/>
    </row>
    <row r="61">
      <c r="C61" s="28"/>
    </row>
    <row r="62">
      <c r="C62" s="28"/>
    </row>
    <row r="63">
      <c r="C63" s="28"/>
    </row>
    <row r="64">
      <c r="C64" s="28"/>
    </row>
    <row r="65">
      <c r="C65" s="28"/>
    </row>
    <row r="66">
      <c r="C66" s="28"/>
    </row>
    <row r="67">
      <c r="C67" s="28"/>
    </row>
    <row r="68">
      <c r="C68" s="28"/>
    </row>
    <row r="69">
      <c r="C69" s="28"/>
    </row>
    <row r="70">
      <c r="C70" s="28"/>
    </row>
    <row r="71">
      <c r="C71" s="28"/>
    </row>
    <row r="72">
      <c r="C72" s="28"/>
    </row>
    <row r="73">
      <c r="C73" s="28"/>
    </row>
    <row r="74">
      <c r="C74" s="28"/>
    </row>
    <row r="75">
      <c r="C75" s="28"/>
    </row>
    <row r="76">
      <c r="C76" s="28"/>
    </row>
    <row r="77">
      <c r="C77" s="28"/>
    </row>
    <row r="78">
      <c r="C78" s="28"/>
    </row>
    <row r="79">
      <c r="C79" s="28"/>
    </row>
    <row r="80">
      <c r="C80" s="28"/>
    </row>
    <row r="81">
      <c r="C81" s="28"/>
    </row>
    <row r="82">
      <c r="C82" s="28"/>
    </row>
    <row r="83">
      <c r="C83" s="28"/>
    </row>
    <row r="84">
      <c r="C84" s="28"/>
    </row>
    <row r="85">
      <c r="C85" s="28"/>
    </row>
    <row r="86">
      <c r="C86" s="28"/>
    </row>
    <row r="87">
      <c r="C87" s="28"/>
    </row>
    <row r="88">
      <c r="C88" s="28"/>
    </row>
    <row r="89">
      <c r="C89" s="28"/>
    </row>
    <row r="90">
      <c r="C90" s="28"/>
    </row>
    <row r="91">
      <c r="C91" s="28"/>
    </row>
    <row r="92">
      <c r="C92" s="28"/>
    </row>
    <row r="93">
      <c r="C93" s="28"/>
    </row>
    <row r="94">
      <c r="C94" s="28"/>
    </row>
    <row r="95">
      <c r="C95" s="28"/>
    </row>
    <row r="96">
      <c r="C96" s="28"/>
    </row>
    <row r="97">
      <c r="C97" s="28"/>
    </row>
    <row r="98">
      <c r="C98" s="28"/>
    </row>
    <row r="99">
      <c r="C99" s="28"/>
    </row>
    <row r="100">
      <c r="C100" s="28"/>
    </row>
    <row r="101">
      <c r="C101" s="28"/>
    </row>
    <row r="102">
      <c r="C102" s="28"/>
    </row>
    <row r="103">
      <c r="C103" s="28"/>
    </row>
    <row r="104">
      <c r="C104" s="28"/>
    </row>
    <row r="105">
      <c r="C105" s="28"/>
    </row>
    <row r="106">
      <c r="C106" s="28"/>
    </row>
    <row r="107">
      <c r="C107" s="28"/>
    </row>
    <row r="108">
      <c r="C108" s="28"/>
    </row>
    <row r="109">
      <c r="C109" s="28"/>
    </row>
    <row r="110">
      <c r="C110" s="28"/>
    </row>
    <row r="111">
      <c r="C111" s="28"/>
    </row>
    <row r="112">
      <c r="C112" s="28"/>
    </row>
    <row r="113">
      <c r="C113" s="28"/>
    </row>
    <row r="114">
      <c r="C114" s="28"/>
    </row>
    <row r="115">
      <c r="C115" s="28"/>
    </row>
    <row r="116">
      <c r="C116" s="28"/>
    </row>
    <row r="117">
      <c r="C117" s="28"/>
    </row>
    <row r="118">
      <c r="C118" s="28"/>
    </row>
    <row r="119">
      <c r="C119" s="28"/>
    </row>
    <row r="120">
      <c r="C120" s="28"/>
    </row>
    <row r="121">
      <c r="C121" s="28"/>
    </row>
    <row r="122">
      <c r="C122" s="28"/>
    </row>
    <row r="123">
      <c r="C123" s="28"/>
    </row>
    <row r="124">
      <c r="C124" s="28"/>
    </row>
    <row r="125">
      <c r="C125" s="28"/>
    </row>
    <row r="126">
      <c r="C126" s="28"/>
    </row>
    <row r="127">
      <c r="C127" s="28"/>
    </row>
    <row r="128">
      <c r="C128" s="28"/>
    </row>
    <row r="129">
      <c r="C129" s="28"/>
    </row>
    <row r="130">
      <c r="C130" s="28"/>
    </row>
    <row r="131">
      <c r="C131" s="28"/>
    </row>
    <row r="132">
      <c r="C132" s="28"/>
    </row>
    <row r="133">
      <c r="C133" s="28"/>
    </row>
    <row r="134">
      <c r="C134" s="28"/>
    </row>
    <row r="135">
      <c r="C135" s="28"/>
    </row>
    <row r="136">
      <c r="C136" s="28"/>
    </row>
    <row r="137">
      <c r="C137" s="28"/>
    </row>
    <row r="138">
      <c r="C138" s="28"/>
    </row>
    <row r="139">
      <c r="C139" s="28"/>
    </row>
    <row r="140">
      <c r="C140" s="28"/>
    </row>
    <row r="141">
      <c r="C141" s="28"/>
    </row>
    <row r="142">
      <c r="C142" s="28"/>
    </row>
    <row r="143">
      <c r="C143" s="28"/>
    </row>
    <row r="144">
      <c r="C144" s="28"/>
    </row>
    <row r="145">
      <c r="C145" s="28"/>
    </row>
    <row r="146">
      <c r="C146" s="28"/>
    </row>
    <row r="147">
      <c r="C147" s="28"/>
    </row>
    <row r="148">
      <c r="C148" s="28"/>
    </row>
    <row r="149">
      <c r="C149" s="28"/>
    </row>
    <row r="150">
      <c r="C150" s="28"/>
    </row>
    <row r="151">
      <c r="C151" s="28"/>
    </row>
    <row r="152">
      <c r="C152" s="28"/>
    </row>
    <row r="153">
      <c r="C153" s="28"/>
    </row>
    <row r="154">
      <c r="C154" s="28"/>
    </row>
    <row r="155">
      <c r="C155" s="28"/>
    </row>
    <row r="156">
      <c r="C156" s="28"/>
    </row>
    <row r="157">
      <c r="C157" s="28"/>
    </row>
    <row r="158">
      <c r="C158" s="28"/>
    </row>
    <row r="159">
      <c r="C159" s="28"/>
    </row>
    <row r="160">
      <c r="C160" s="28"/>
    </row>
    <row r="161">
      <c r="C161" s="28"/>
    </row>
    <row r="162">
      <c r="C162" s="28"/>
    </row>
    <row r="163">
      <c r="C163" s="28"/>
    </row>
    <row r="164">
      <c r="C164" s="28"/>
    </row>
    <row r="165">
      <c r="C165" s="28"/>
    </row>
    <row r="166">
      <c r="C166" s="28"/>
    </row>
    <row r="167">
      <c r="C167" s="28"/>
    </row>
    <row r="168">
      <c r="C168" s="28"/>
    </row>
    <row r="169">
      <c r="C169" s="28"/>
    </row>
    <row r="170">
      <c r="C170" s="28"/>
    </row>
    <row r="171">
      <c r="C171" s="28"/>
    </row>
    <row r="172">
      <c r="C172" s="28"/>
    </row>
    <row r="173">
      <c r="C173" s="28"/>
    </row>
    <row r="174">
      <c r="C174" s="28"/>
    </row>
    <row r="175">
      <c r="C175" s="28"/>
    </row>
    <row r="176">
      <c r="C176" s="28"/>
    </row>
    <row r="177">
      <c r="C177" s="28"/>
    </row>
    <row r="178">
      <c r="C178" s="28"/>
    </row>
    <row r="179">
      <c r="C179" s="28"/>
    </row>
    <row r="180">
      <c r="C180" s="28"/>
    </row>
    <row r="181">
      <c r="C181" s="28"/>
    </row>
    <row r="182">
      <c r="C182" s="28"/>
    </row>
    <row r="183">
      <c r="C183" s="28"/>
    </row>
    <row r="184">
      <c r="C184" s="28"/>
    </row>
    <row r="185">
      <c r="C185" s="28"/>
    </row>
    <row r="186">
      <c r="C186" s="28"/>
    </row>
    <row r="187">
      <c r="C187" s="28"/>
    </row>
    <row r="188">
      <c r="C188" s="28"/>
    </row>
    <row r="189">
      <c r="C189" s="28"/>
    </row>
    <row r="190">
      <c r="C190" s="28"/>
    </row>
    <row r="191">
      <c r="C191" s="28"/>
    </row>
    <row r="192">
      <c r="C192" s="28"/>
    </row>
    <row r="193">
      <c r="C193" s="28"/>
    </row>
    <row r="194">
      <c r="C194" s="28"/>
    </row>
    <row r="195">
      <c r="C195" s="28"/>
    </row>
    <row r="196">
      <c r="C196" s="28"/>
    </row>
    <row r="197">
      <c r="C197" s="28"/>
    </row>
    <row r="198">
      <c r="C198" s="28"/>
    </row>
    <row r="199">
      <c r="C199" s="28"/>
    </row>
    <row r="200">
      <c r="C200" s="28"/>
    </row>
    <row r="201">
      <c r="C201" s="28"/>
    </row>
    <row r="202">
      <c r="C202" s="28"/>
    </row>
    <row r="203">
      <c r="C203" s="28"/>
    </row>
    <row r="204">
      <c r="C204" s="28"/>
    </row>
    <row r="205">
      <c r="C205" s="28"/>
    </row>
    <row r="206">
      <c r="C206" s="28"/>
    </row>
    <row r="207">
      <c r="C207" s="28"/>
    </row>
    <row r="208">
      <c r="C208" s="28"/>
    </row>
    <row r="209">
      <c r="C209" s="28"/>
    </row>
    <row r="210">
      <c r="C210" s="28"/>
    </row>
    <row r="211">
      <c r="C211" s="28"/>
    </row>
    <row r="212">
      <c r="C212" s="28"/>
    </row>
    <row r="213">
      <c r="C213" s="28"/>
    </row>
    <row r="214">
      <c r="C214" s="28"/>
    </row>
    <row r="215">
      <c r="C215" s="28"/>
    </row>
    <row r="216">
      <c r="C216" s="28"/>
    </row>
    <row r="217">
      <c r="C217" s="28"/>
    </row>
    <row r="218">
      <c r="C218" s="28"/>
    </row>
    <row r="219">
      <c r="C219" s="28"/>
    </row>
    <row r="220">
      <c r="C220" s="28"/>
    </row>
    <row r="221">
      <c r="C221" s="28"/>
    </row>
    <row r="222">
      <c r="C222" s="28"/>
    </row>
    <row r="223">
      <c r="C223" s="28"/>
    </row>
    <row r="224">
      <c r="C224" s="28"/>
    </row>
    <row r="225">
      <c r="C225" s="28"/>
    </row>
    <row r="226">
      <c r="C226" s="28"/>
    </row>
    <row r="227">
      <c r="C227" s="28"/>
    </row>
    <row r="228">
      <c r="C228" s="28"/>
    </row>
    <row r="229">
      <c r="C229" s="28"/>
    </row>
    <row r="230">
      <c r="C230" s="28"/>
    </row>
    <row r="231">
      <c r="C231" s="28"/>
    </row>
    <row r="232">
      <c r="C232" s="28"/>
    </row>
    <row r="233">
      <c r="C233" s="28"/>
    </row>
    <row r="234">
      <c r="C234" s="28"/>
    </row>
    <row r="235">
      <c r="C235" s="28"/>
    </row>
    <row r="236">
      <c r="C236" s="28"/>
    </row>
    <row r="237">
      <c r="C237" s="28"/>
    </row>
    <row r="238">
      <c r="C238" s="28"/>
    </row>
    <row r="239">
      <c r="C239" s="28"/>
    </row>
    <row r="240">
      <c r="C240" s="28"/>
    </row>
    <row r="241">
      <c r="C241" s="28"/>
    </row>
    <row r="242">
      <c r="C242" s="28"/>
    </row>
    <row r="243">
      <c r="C243" s="28"/>
    </row>
    <row r="244">
      <c r="C244" s="28"/>
    </row>
    <row r="245">
      <c r="C245" s="28"/>
    </row>
    <row r="246">
      <c r="C246" s="28"/>
    </row>
    <row r="247">
      <c r="C247" s="28"/>
    </row>
    <row r="248">
      <c r="C248" s="28"/>
    </row>
    <row r="249">
      <c r="C249" s="28"/>
    </row>
    <row r="250">
      <c r="C250" s="28"/>
    </row>
    <row r="251">
      <c r="C251" s="28"/>
    </row>
    <row r="252">
      <c r="C252" s="28"/>
    </row>
    <row r="253">
      <c r="C253" s="28"/>
    </row>
    <row r="254">
      <c r="C254" s="28"/>
    </row>
    <row r="255">
      <c r="C255" s="28"/>
    </row>
    <row r="256">
      <c r="C256" s="28"/>
    </row>
    <row r="257">
      <c r="C257" s="28"/>
    </row>
    <row r="258">
      <c r="C258" s="28"/>
    </row>
    <row r="259">
      <c r="C259" s="28"/>
    </row>
    <row r="260">
      <c r="C260" s="28"/>
    </row>
    <row r="261">
      <c r="C261" s="28"/>
    </row>
    <row r="262">
      <c r="C262" s="28"/>
    </row>
    <row r="263">
      <c r="C263" s="28"/>
    </row>
    <row r="264">
      <c r="C264" s="28"/>
    </row>
    <row r="265">
      <c r="C265" s="28"/>
    </row>
    <row r="266">
      <c r="C266" s="28"/>
    </row>
    <row r="267">
      <c r="C267" s="28"/>
    </row>
    <row r="268">
      <c r="C268" s="28"/>
    </row>
    <row r="269">
      <c r="C269" s="28"/>
    </row>
    <row r="270">
      <c r="C270" s="28"/>
    </row>
    <row r="271">
      <c r="C271" s="28"/>
    </row>
    <row r="272">
      <c r="C272" s="28"/>
    </row>
    <row r="273">
      <c r="C273" s="28"/>
    </row>
    <row r="274">
      <c r="C274" s="28"/>
    </row>
    <row r="275">
      <c r="C275" s="28"/>
    </row>
    <row r="276">
      <c r="C276" s="28"/>
    </row>
    <row r="277">
      <c r="C277" s="28"/>
    </row>
    <row r="278">
      <c r="C278" s="28"/>
    </row>
    <row r="279">
      <c r="C279" s="28"/>
    </row>
    <row r="280">
      <c r="C280" s="28"/>
    </row>
    <row r="281">
      <c r="C281" s="28"/>
    </row>
    <row r="282">
      <c r="C282" s="28"/>
    </row>
    <row r="283">
      <c r="C283" s="28"/>
    </row>
    <row r="284">
      <c r="C284" s="28"/>
    </row>
    <row r="285">
      <c r="C285" s="28"/>
    </row>
    <row r="286">
      <c r="C286" s="28"/>
    </row>
    <row r="287">
      <c r="C287" s="28"/>
    </row>
    <row r="288">
      <c r="C288" s="28"/>
    </row>
    <row r="289">
      <c r="C289" s="28"/>
    </row>
    <row r="290">
      <c r="C290" s="28"/>
    </row>
    <row r="291">
      <c r="C291" s="28"/>
    </row>
    <row r="292">
      <c r="C292" s="28"/>
    </row>
    <row r="293">
      <c r="C293" s="28"/>
    </row>
    <row r="294">
      <c r="C294" s="28"/>
    </row>
    <row r="295">
      <c r="C295" s="28"/>
    </row>
    <row r="296">
      <c r="C296" s="28"/>
    </row>
    <row r="297">
      <c r="C297" s="28"/>
    </row>
    <row r="298">
      <c r="C298" s="28"/>
    </row>
    <row r="299">
      <c r="C299" s="28"/>
    </row>
    <row r="300">
      <c r="C300" s="28"/>
    </row>
    <row r="301">
      <c r="C301" s="28"/>
    </row>
    <row r="302">
      <c r="C302" s="28"/>
    </row>
    <row r="303">
      <c r="C303" s="28"/>
    </row>
    <row r="304">
      <c r="C304" s="28"/>
    </row>
    <row r="305">
      <c r="C305" s="28"/>
    </row>
    <row r="306">
      <c r="C306" s="28"/>
    </row>
    <row r="307">
      <c r="C307" s="28"/>
    </row>
    <row r="308">
      <c r="C308" s="28"/>
    </row>
    <row r="309">
      <c r="C309" s="28"/>
    </row>
    <row r="310">
      <c r="C310" s="28"/>
    </row>
    <row r="311">
      <c r="C311" s="28"/>
    </row>
    <row r="312">
      <c r="C312" s="28"/>
    </row>
    <row r="313">
      <c r="C313" s="28"/>
    </row>
    <row r="314">
      <c r="C314" s="28"/>
    </row>
    <row r="315">
      <c r="C315" s="28"/>
    </row>
    <row r="316">
      <c r="C316" s="28"/>
    </row>
    <row r="317">
      <c r="C317" s="28"/>
    </row>
    <row r="318">
      <c r="C318" s="28"/>
    </row>
    <row r="319">
      <c r="C319" s="28"/>
    </row>
    <row r="320">
      <c r="C320" s="28"/>
    </row>
    <row r="321">
      <c r="C321" s="28"/>
    </row>
    <row r="322">
      <c r="C322" s="28"/>
    </row>
    <row r="323">
      <c r="C323" s="28"/>
    </row>
    <row r="324">
      <c r="C324" s="28"/>
    </row>
    <row r="325">
      <c r="C325" s="28"/>
    </row>
    <row r="326">
      <c r="C326" s="28"/>
    </row>
    <row r="327">
      <c r="C327" s="28"/>
    </row>
    <row r="328">
      <c r="C328" s="28"/>
    </row>
    <row r="329">
      <c r="C329" s="28"/>
    </row>
    <row r="330">
      <c r="C330" s="28"/>
    </row>
    <row r="331">
      <c r="C331" s="28"/>
    </row>
    <row r="332">
      <c r="C332" s="28"/>
    </row>
    <row r="333">
      <c r="C333" s="28"/>
    </row>
    <row r="334">
      <c r="C334" s="28"/>
    </row>
    <row r="335">
      <c r="C335" s="28"/>
    </row>
    <row r="336">
      <c r="C336" s="28"/>
    </row>
    <row r="337">
      <c r="C337" s="28"/>
    </row>
    <row r="338">
      <c r="C338" s="28"/>
    </row>
    <row r="339">
      <c r="C339" s="28"/>
    </row>
    <row r="340">
      <c r="C340" s="28"/>
    </row>
    <row r="341">
      <c r="C341" s="28"/>
    </row>
    <row r="342">
      <c r="C342" s="28"/>
    </row>
    <row r="343">
      <c r="C343" s="28"/>
    </row>
    <row r="344">
      <c r="C344" s="28"/>
    </row>
    <row r="345">
      <c r="C345" s="28"/>
    </row>
    <row r="346">
      <c r="C346" s="28"/>
    </row>
    <row r="347">
      <c r="C347" s="28"/>
    </row>
    <row r="348">
      <c r="C348" s="28"/>
    </row>
    <row r="349">
      <c r="C349" s="28"/>
    </row>
    <row r="350">
      <c r="C350" s="28"/>
    </row>
    <row r="351">
      <c r="C351" s="28"/>
    </row>
    <row r="352">
      <c r="C352" s="28"/>
    </row>
    <row r="353">
      <c r="C353" s="28"/>
    </row>
    <row r="354">
      <c r="C354" s="28"/>
    </row>
    <row r="355">
      <c r="C355" s="28"/>
    </row>
    <row r="356">
      <c r="C356" s="28"/>
    </row>
    <row r="357">
      <c r="C357" s="28"/>
    </row>
    <row r="358">
      <c r="C358" s="28"/>
    </row>
    <row r="359">
      <c r="C359" s="28"/>
    </row>
    <row r="360">
      <c r="C360" s="28"/>
    </row>
    <row r="361">
      <c r="C361" s="28"/>
    </row>
    <row r="362">
      <c r="C362" s="28"/>
    </row>
    <row r="363">
      <c r="C363" s="28"/>
    </row>
    <row r="364">
      <c r="C364" s="28"/>
    </row>
    <row r="365">
      <c r="C365" s="28"/>
    </row>
    <row r="366">
      <c r="C366" s="28"/>
    </row>
    <row r="367">
      <c r="C367" s="28"/>
    </row>
    <row r="368">
      <c r="C368" s="28"/>
    </row>
    <row r="369">
      <c r="C369" s="28"/>
    </row>
    <row r="370">
      <c r="C370" s="28"/>
    </row>
    <row r="371">
      <c r="C371" s="28"/>
    </row>
    <row r="372">
      <c r="C372" s="28"/>
    </row>
    <row r="373">
      <c r="C373" s="28"/>
    </row>
    <row r="374">
      <c r="C374" s="28"/>
    </row>
    <row r="375">
      <c r="C375" s="28"/>
    </row>
    <row r="376">
      <c r="C376" s="28"/>
    </row>
    <row r="377">
      <c r="C377" s="28"/>
    </row>
    <row r="378">
      <c r="C378" s="28"/>
    </row>
    <row r="379">
      <c r="C379" s="28"/>
    </row>
    <row r="380">
      <c r="C380" s="28"/>
    </row>
    <row r="381">
      <c r="C381" s="28"/>
    </row>
    <row r="382">
      <c r="C382" s="28"/>
    </row>
    <row r="383">
      <c r="C383" s="28"/>
    </row>
    <row r="384">
      <c r="C384" s="28"/>
    </row>
    <row r="385">
      <c r="C385" s="28"/>
    </row>
    <row r="386">
      <c r="C386" s="28"/>
    </row>
    <row r="387">
      <c r="C387" s="28"/>
    </row>
    <row r="388">
      <c r="C388" s="28"/>
    </row>
    <row r="389">
      <c r="C389" s="28"/>
    </row>
    <row r="390">
      <c r="C390" s="28"/>
    </row>
    <row r="391">
      <c r="C391" s="28"/>
    </row>
    <row r="392">
      <c r="C392" s="28"/>
    </row>
    <row r="393">
      <c r="C393" s="28"/>
    </row>
    <row r="394">
      <c r="C394" s="28"/>
    </row>
    <row r="395">
      <c r="C395" s="28"/>
    </row>
    <row r="396">
      <c r="C396" s="28"/>
    </row>
    <row r="397">
      <c r="C397" s="28"/>
    </row>
    <row r="398">
      <c r="C398" s="28"/>
    </row>
    <row r="399">
      <c r="C399" s="28"/>
    </row>
    <row r="400">
      <c r="C400" s="28"/>
    </row>
    <row r="401">
      <c r="C401" s="28"/>
    </row>
    <row r="402">
      <c r="C402" s="28"/>
    </row>
    <row r="403">
      <c r="C403" s="28"/>
    </row>
    <row r="404">
      <c r="C404" s="28"/>
    </row>
    <row r="405">
      <c r="C405" s="28"/>
    </row>
    <row r="406">
      <c r="C406" s="28"/>
    </row>
    <row r="407">
      <c r="C407" s="28"/>
    </row>
    <row r="408">
      <c r="C408" s="28"/>
    </row>
    <row r="409">
      <c r="C409" s="28"/>
    </row>
    <row r="410">
      <c r="C410" s="28"/>
    </row>
    <row r="411">
      <c r="C411" s="28"/>
    </row>
    <row r="412">
      <c r="C412" s="28"/>
    </row>
    <row r="413">
      <c r="C413" s="28"/>
    </row>
    <row r="414">
      <c r="C414" s="28"/>
    </row>
    <row r="415">
      <c r="C415" s="28"/>
    </row>
    <row r="416">
      <c r="C416" s="28"/>
    </row>
    <row r="417">
      <c r="C417" s="28"/>
    </row>
    <row r="418">
      <c r="C418" s="28"/>
    </row>
    <row r="419">
      <c r="C419" s="28"/>
    </row>
    <row r="420">
      <c r="C420" s="28"/>
    </row>
    <row r="421">
      <c r="C421" s="28"/>
    </row>
    <row r="422">
      <c r="C422" s="28"/>
    </row>
    <row r="423">
      <c r="C423" s="28"/>
    </row>
    <row r="424">
      <c r="C424" s="28"/>
    </row>
    <row r="425">
      <c r="C425" s="28"/>
    </row>
    <row r="426">
      <c r="C426" s="28"/>
    </row>
    <row r="427">
      <c r="C427" s="28"/>
    </row>
    <row r="428">
      <c r="C428" s="28"/>
    </row>
    <row r="429">
      <c r="C429" s="28"/>
    </row>
    <row r="430">
      <c r="C430" s="28"/>
    </row>
    <row r="431">
      <c r="C431" s="28"/>
    </row>
    <row r="432">
      <c r="C432" s="28"/>
    </row>
    <row r="433">
      <c r="C433" s="28"/>
    </row>
    <row r="434">
      <c r="C434" s="28"/>
    </row>
    <row r="435">
      <c r="C435" s="28"/>
    </row>
    <row r="436">
      <c r="C436" s="28"/>
    </row>
    <row r="437">
      <c r="C437" s="28"/>
    </row>
    <row r="438">
      <c r="C438" s="28"/>
    </row>
    <row r="439">
      <c r="C439" s="28"/>
    </row>
    <row r="440">
      <c r="C440" s="28"/>
    </row>
    <row r="441">
      <c r="C441" s="28"/>
    </row>
    <row r="442">
      <c r="C442" s="28"/>
    </row>
    <row r="443">
      <c r="C443" s="28"/>
    </row>
    <row r="444">
      <c r="C444" s="28"/>
    </row>
    <row r="445">
      <c r="C445" s="28"/>
    </row>
    <row r="446">
      <c r="C446" s="28"/>
    </row>
    <row r="447">
      <c r="C447" s="28"/>
    </row>
    <row r="448">
      <c r="C448" s="28"/>
    </row>
    <row r="449">
      <c r="C449" s="28"/>
    </row>
    <row r="450">
      <c r="C450" s="28"/>
    </row>
    <row r="451">
      <c r="C451" s="28"/>
    </row>
    <row r="452">
      <c r="C452" s="28"/>
    </row>
    <row r="453">
      <c r="C453" s="28"/>
    </row>
    <row r="454">
      <c r="C454" s="28"/>
    </row>
    <row r="455">
      <c r="C455" s="28"/>
    </row>
    <row r="456">
      <c r="C456" s="28"/>
    </row>
    <row r="457">
      <c r="C457" s="28"/>
    </row>
    <row r="458">
      <c r="C458" s="28"/>
    </row>
    <row r="459">
      <c r="C459" s="28"/>
    </row>
    <row r="460">
      <c r="C460" s="28"/>
    </row>
    <row r="461">
      <c r="C461" s="28"/>
    </row>
    <row r="462">
      <c r="C462" s="28"/>
    </row>
    <row r="463">
      <c r="C463" s="28"/>
    </row>
    <row r="464">
      <c r="C464" s="28"/>
    </row>
    <row r="465">
      <c r="C465" s="28"/>
    </row>
    <row r="466">
      <c r="C466" s="28"/>
    </row>
    <row r="467">
      <c r="C467" s="28"/>
    </row>
    <row r="468">
      <c r="C468" s="28"/>
    </row>
    <row r="469">
      <c r="C469" s="28"/>
    </row>
    <row r="470">
      <c r="C470" s="28"/>
    </row>
    <row r="471">
      <c r="C471" s="28"/>
    </row>
    <row r="472">
      <c r="C472" s="28"/>
    </row>
    <row r="473">
      <c r="C473" s="28"/>
    </row>
    <row r="474">
      <c r="C474" s="28"/>
    </row>
    <row r="475">
      <c r="C475" s="28"/>
    </row>
    <row r="476">
      <c r="C476" s="28"/>
    </row>
    <row r="477">
      <c r="C477" s="28"/>
    </row>
    <row r="478">
      <c r="C478" s="28"/>
    </row>
    <row r="479">
      <c r="C479" s="28"/>
    </row>
    <row r="480">
      <c r="C480" s="28"/>
    </row>
    <row r="481">
      <c r="C481" s="28"/>
    </row>
    <row r="482">
      <c r="C482" s="28"/>
    </row>
    <row r="483">
      <c r="C483" s="28"/>
    </row>
    <row r="484">
      <c r="C484" s="28"/>
    </row>
    <row r="485">
      <c r="C485" s="28"/>
    </row>
    <row r="486">
      <c r="C486" s="28"/>
    </row>
    <row r="487">
      <c r="C487" s="28"/>
    </row>
    <row r="488">
      <c r="C488" s="28"/>
    </row>
    <row r="489">
      <c r="C489" s="28"/>
    </row>
    <row r="490">
      <c r="C490" s="28"/>
    </row>
    <row r="491">
      <c r="C491" s="28"/>
    </row>
    <row r="492">
      <c r="C492" s="28"/>
    </row>
    <row r="493">
      <c r="C493" s="28"/>
    </row>
    <row r="494">
      <c r="C494" s="28"/>
    </row>
    <row r="495">
      <c r="C495" s="28"/>
    </row>
    <row r="496">
      <c r="C496" s="28"/>
    </row>
    <row r="497">
      <c r="C497" s="28"/>
    </row>
    <row r="498">
      <c r="C498" s="28"/>
    </row>
    <row r="499">
      <c r="C499" s="28"/>
    </row>
    <row r="500">
      <c r="C500" s="28"/>
    </row>
    <row r="501">
      <c r="C501" s="28"/>
    </row>
    <row r="502">
      <c r="C502" s="28"/>
    </row>
    <row r="503">
      <c r="C503" s="28"/>
    </row>
    <row r="504">
      <c r="C504" s="28"/>
    </row>
    <row r="505">
      <c r="C505" s="28"/>
    </row>
    <row r="506">
      <c r="C506" s="28"/>
    </row>
    <row r="507">
      <c r="C507" s="28"/>
    </row>
    <row r="508">
      <c r="C508" s="28"/>
    </row>
    <row r="509">
      <c r="C509" s="28"/>
    </row>
    <row r="510">
      <c r="C510" s="28"/>
    </row>
    <row r="511">
      <c r="C511" s="28"/>
    </row>
    <row r="512">
      <c r="C512" s="28"/>
    </row>
    <row r="513">
      <c r="C513" s="28"/>
    </row>
    <row r="514">
      <c r="C514" s="28"/>
    </row>
    <row r="515">
      <c r="C515" s="28"/>
    </row>
    <row r="516">
      <c r="C516" s="28"/>
    </row>
    <row r="517">
      <c r="C517" s="28"/>
    </row>
    <row r="518">
      <c r="C518" s="28"/>
    </row>
    <row r="519">
      <c r="C519" s="28"/>
    </row>
    <row r="520">
      <c r="C520" s="28"/>
    </row>
    <row r="521">
      <c r="C521" s="28"/>
    </row>
    <row r="522">
      <c r="C522" s="28"/>
    </row>
    <row r="523">
      <c r="C523" s="28"/>
    </row>
    <row r="524">
      <c r="C524" s="28"/>
    </row>
    <row r="525">
      <c r="C525" s="28"/>
    </row>
    <row r="526">
      <c r="C526" s="28"/>
    </row>
    <row r="527">
      <c r="C527" s="28"/>
    </row>
    <row r="528">
      <c r="C528" s="28"/>
    </row>
    <row r="529">
      <c r="C529" s="28"/>
    </row>
    <row r="530">
      <c r="C530" s="28"/>
    </row>
    <row r="531">
      <c r="C531" s="28"/>
    </row>
    <row r="532">
      <c r="C532" s="28"/>
    </row>
    <row r="533">
      <c r="C533" s="28"/>
    </row>
    <row r="534">
      <c r="C534" s="28"/>
    </row>
    <row r="535">
      <c r="C535" s="28"/>
    </row>
    <row r="536">
      <c r="C536" s="28"/>
    </row>
    <row r="537">
      <c r="C537" s="28"/>
    </row>
    <row r="538">
      <c r="C538" s="28"/>
    </row>
    <row r="539">
      <c r="C539" s="28"/>
    </row>
    <row r="540">
      <c r="C540" s="28"/>
    </row>
    <row r="541">
      <c r="C541" s="28"/>
    </row>
    <row r="542">
      <c r="C542" s="28"/>
    </row>
    <row r="543">
      <c r="C543" s="28"/>
    </row>
    <row r="544">
      <c r="C544" s="28"/>
    </row>
    <row r="545">
      <c r="C545" s="28"/>
    </row>
    <row r="546">
      <c r="C546" s="28"/>
    </row>
    <row r="547">
      <c r="C547" s="28"/>
    </row>
    <row r="548">
      <c r="C548" s="28"/>
    </row>
    <row r="549">
      <c r="C549" s="28"/>
    </row>
    <row r="550">
      <c r="C550" s="28"/>
    </row>
    <row r="551">
      <c r="C551" s="28"/>
    </row>
    <row r="552">
      <c r="C552" s="28"/>
    </row>
    <row r="553">
      <c r="C553" s="28"/>
    </row>
    <row r="554">
      <c r="C554" s="28"/>
    </row>
    <row r="555">
      <c r="C555" s="28"/>
    </row>
    <row r="556">
      <c r="C556" s="28"/>
    </row>
    <row r="557">
      <c r="C557" s="28"/>
    </row>
    <row r="558">
      <c r="C558" s="28"/>
    </row>
    <row r="559">
      <c r="C559" s="28"/>
    </row>
    <row r="560">
      <c r="C560" s="28"/>
    </row>
    <row r="561">
      <c r="C561" s="28"/>
    </row>
    <row r="562">
      <c r="C562" s="28"/>
    </row>
    <row r="563">
      <c r="C563" s="28"/>
    </row>
    <row r="564">
      <c r="C564" s="28"/>
    </row>
    <row r="565">
      <c r="C565" s="28"/>
    </row>
    <row r="566">
      <c r="C566" s="28"/>
    </row>
    <row r="567">
      <c r="C567" s="28"/>
    </row>
    <row r="568">
      <c r="C568" s="28"/>
    </row>
    <row r="569">
      <c r="C569" s="28"/>
    </row>
    <row r="570">
      <c r="C570" s="28"/>
    </row>
    <row r="571">
      <c r="C571" s="28"/>
    </row>
    <row r="572">
      <c r="C572" s="28"/>
    </row>
    <row r="573">
      <c r="C573" s="28"/>
    </row>
    <row r="574">
      <c r="C574" s="28"/>
    </row>
    <row r="575">
      <c r="C575" s="28"/>
    </row>
    <row r="576">
      <c r="C576" s="28"/>
    </row>
    <row r="577">
      <c r="C577" s="28"/>
    </row>
    <row r="578">
      <c r="C578" s="28"/>
    </row>
    <row r="579">
      <c r="C579" s="28"/>
    </row>
    <row r="580">
      <c r="C580" s="28"/>
    </row>
    <row r="581">
      <c r="C581" s="28"/>
    </row>
    <row r="582">
      <c r="C582" s="28"/>
    </row>
    <row r="583">
      <c r="C583" s="28"/>
    </row>
    <row r="584">
      <c r="C584" s="28"/>
    </row>
    <row r="585">
      <c r="C585" s="28"/>
    </row>
    <row r="586">
      <c r="C586" s="28"/>
    </row>
    <row r="587">
      <c r="C587" s="28"/>
    </row>
    <row r="588">
      <c r="C588" s="28"/>
    </row>
    <row r="589">
      <c r="C589" s="28"/>
    </row>
    <row r="590">
      <c r="C590" s="28"/>
    </row>
    <row r="591">
      <c r="C591" s="28"/>
    </row>
    <row r="592">
      <c r="C592" s="28"/>
    </row>
    <row r="593">
      <c r="C593" s="28"/>
    </row>
    <row r="594">
      <c r="C594" s="28"/>
    </row>
    <row r="595">
      <c r="C595" s="28"/>
    </row>
    <row r="596">
      <c r="C596" s="28"/>
    </row>
    <row r="597">
      <c r="C597" s="28"/>
    </row>
    <row r="598">
      <c r="C598" s="28"/>
    </row>
    <row r="599">
      <c r="C599" s="28"/>
    </row>
    <row r="600">
      <c r="C600" s="28"/>
    </row>
    <row r="601">
      <c r="C601" s="28"/>
    </row>
    <row r="602">
      <c r="C602" s="28"/>
    </row>
    <row r="603">
      <c r="C603" s="28"/>
    </row>
    <row r="604">
      <c r="C604" s="28"/>
    </row>
    <row r="605">
      <c r="C605" s="28"/>
    </row>
    <row r="606">
      <c r="C606" s="28"/>
    </row>
    <row r="607">
      <c r="C607" s="28"/>
    </row>
    <row r="608">
      <c r="C608" s="28"/>
    </row>
    <row r="609">
      <c r="C609" s="28"/>
    </row>
    <row r="610">
      <c r="C610" s="28"/>
    </row>
    <row r="611">
      <c r="C611" s="28"/>
    </row>
    <row r="612">
      <c r="C612" s="28"/>
    </row>
    <row r="613">
      <c r="C613" s="28"/>
    </row>
    <row r="614">
      <c r="C614" s="28"/>
    </row>
    <row r="615">
      <c r="C615" s="28"/>
    </row>
    <row r="616">
      <c r="C616" s="28"/>
    </row>
    <row r="617">
      <c r="C617" s="28"/>
    </row>
    <row r="618">
      <c r="C618" s="28"/>
    </row>
    <row r="619">
      <c r="C619" s="28"/>
    </row>
    <row r="620">
      <c r="C620" s="28"/>
    </row>
    <row r="621">
      <c r="C621" s="28"/>
    </row>
    <row r="622">
      <c r="C622" s="28"/>
    </row>
    <row r="623">
      <c r="C623" s="28"/>
    </row>
    <row r="624">
      <c r="C624" s="28"/>
    </row>
    <row r="625">
      <c r="C625" s="28"/>
    </row>
    <row r="626">
      <c r="C626" s="28"/>
    </row>
    <row r="627">
      <c r="C627" s="28"/>
    </row>
    <row r="628">
      <c r="C628" s="28"/>
    </row>
    <row r="629">
      <c r="C629" s="28"/>
    </row>
    <row r="630">
      <c r="C630" s="28"/>
    </row>
    <row r="631">
      <c r="C631" s="28"/>
    </row>
    <row r="632">
      <c r="C632" s="28"/>
    </row>
    <row r="633">
      <c r="C633" s="28"/>
    </row>
    <row r="634">
      <c r="C634" s="28"/>
    </row>
    <row r="635">
      <c r="C635" s="28"/>
    </row>
    <row r="636">
      <c r="C636" s="28"/>
    </row>
    <row r="637">
      <c r="C637" s="28"/>
    </row>
    <row r="638">
      <c r="C638" s="28"/>
    </row>
    <row r="639">
      <c r="C639" s="28"/>
    </row>
    <row r="640">
      <c r="C640" s="28"/>
    </row>
    <row r="641">
      <c r="C641" s="28"/>
    </row>
    <row r="642">
      <c r="C642" s="28"/>
    </row>
    <row r="643">
      <c r="C643" s="28"/>
    </row>
    <row r="644">
      <c r="C644" s="28"/>
    </row>
    <row r="645">
      <c r="C645" s="28"/>
    </row>
    <row r="646">
      <c r="C646" s="28"/>
    </row>
    <row r="647">
      <c r="C647" s="28"/>
    </row>
    <row r="648">
      <c r="C648" s="28"/>
    </row>
    <row r="649">
      <c r="C649" s="28"/>
    </row>
    <row r="650">
      <c r="C650" s="28"/>
    </row>
    <row r="651">
      <c r="C651" s="28"/>
    </row>
    <row r="652">
      <c r="C652" s="28"/>
    </row>
    <row r="653">
      <c r="C653" s="28"/>
    </row>
    <row r="654">
      <c r="C654" s="28"/>
    </row>
    <row r="655">
      <c r="C655" s="28"/>
    </row>
    <row r="656">
      <c r="C656" s="28"/>
    </row>
    <row r="657">
      <c r="C657" s="28"/>
    </row>
    <row r="658">
      <c r="C658" s="28"/>
    </row>
    <row r="659">
      <c r="C659" s="28"/>
    </row>
    <row r="660">
      <c r="C660" s="28"/>
    </row>
    <row r="661">
      <c r="C661" s="28"/>
    </row>
    <row r="662">
      <c r="C662" s="28"/>
    </row>
    <row r="663">
      <c r="C663" s="28"/>
    </row>
    <row r="664">
      <c r="C664" s="28"/>
    </row>
    <row r="665">
      <c r="C665" s="28"/>
    </row>
    <row r="666">
      <c r="C666" s="28"/>
    </row>
    <row r="667">
      <c r="C667" s="28"/>
    </row>
    <row r="668">
      <c r="C668" s="28"/>
    </row>
    <row r="669">
      <c r="C669" s="28"/>
    </row>
    <row r="670">
      <c r="C670" s="28"/>
    </row>
    <row r="671">
      <c r="C671" s="28"/>
    </row>
    <row r="672">
      <c r="C672" s="28"/>
    </row>
    <row r="673">
      <c r="C673" s="28"/>
    </row>
    <row r="674">
      <c r="C674" s="28"/>
    </row>
    <row r="675">
      <c r="C675" s="28"/>
    </row>
    <row r="676">
      <c r="C676" s="28"/>
    </row>
    <row r="677">
      <c r="C677" s="28"/>
    </row>
    <row r="678">
      <c r="C678" s="28"/>
    </row>
    <row r="679">
      <c r="C679" s="28"/>
    </row>
    <row r="680">
      <c r="C680" s="28"/>
    </row>
    <row r="681">
      <c r="C681" s="28"/>
    </row>
    <row r="682">
      <c r="C682" s="28"/>
    </row>
    <row r="683">
      <c r="C683" s="28"/>
    </row>
    <row r="684">
      <c r="C684" s="28"/>
    </row>
    <row r="685">
      <c r="C685" s="28"/>
    </row>
    <row r="686">
      <c r="C686" s="28"/>
    </row>
    <row r="687">
      <c r="C687" s="28"/>
    </row>
    <row r="688">
      <c r="C688" s="28"/>
    </row>
    <row r="689">
      <c r="C689" s="28"/>
    </row>
    <row r="690">
      <c r="C690" s="28"/>
    </row>
    <row r="691">
      <c r="C691" s="28"/>
    </row>
    <row r="692">
      <c r="C692" s="28"/>
    </row>
    <row r="693">
      <c r="C693" s="28"/>
    </row>
    <row r="694">
      <c r="C694" s="28"/>
    </row>
    <row r="695">
      <c r="C695" s="28"/>
    </row>
    <row r="696">
      <c r="C696" s="28"/>
    </row>
    <row r="697">
      <c r="C697" s="28"/>
    </row>
    <row r="698">
      <c r="C698" s="28"/>
    </row>
    <row r="699">
      <c r="C699" s="28"/>
    </row>
    <row r="700">
      <c r="C700" s="28"/>
    </row>
    <row r="701">
      <c r="C701" s="28"/>
    </row>
    <row r="702">
      <c r="C702" s="28"/>
    </row>
    <row r="703">
      <c r="C703" s="28"/>
    </row>
    <row r="704">
      <c r="C704" s="28"/>
    </row>
    <row r="705">
      <c r="C705" s="28"/>
    </row>
    <row r="706">
      <c r="C706" s="28"/>
    </row>
    <row r="707">
      <c r="C707" s="28"/>
    </row>
    <row r="708">
      <c r="C708" s="28"/>
    </row>
    <row r="709">
      <c r="C709" s="28"/>
    </row>
    <row r="710">
      <c r="C710" s="28"/>
    </row>
    <row r="711">
      <c r="C711" s="28"/>
    </row>
    <row r="712">
      <c r="C712" s="28"/>
    </row>
    <row r="713">
      <c r="C713" s="28"/>
    </row>
    <row r="714">
      <c r="C714" s="28"/>
    </row>
    <row r="715">
      <c r="C715" s="28"/>
    </row>
    <row r="716">
      <c r="C716" s="28"/>
    </row>
    <row r="717">
      <c r="C717" s="28"/>
    </row>
    <row r="718">
      <c r="C718" s="28"/>
    </row>
    <row r="719">
      <c r="C719" s="28"/>
    </row>
    <row r="720">
      <c r="C720" s="28"/>
    </row>
    <row r="721">
      <c r="C721" s="28"/>
    </row>
    <row r="722">
      <c r="C722" s="28"/>
    </row>
    <row r="723">
      <c r="C723" s="28"/>
    </row>
    <row r="724">
      <c r="C724" s="28"/>
    </row>
    <row r="725">
      <c r="C725" s="28"/>
    </row>
    <row r="726">
      <c r="C726" s="28"/>
    </row>
    <row r="727">
      <c r="C727" s="28"/>
    </row>
    <row r="728">
      <c r="C728" s="28"/>
    </row>
    <row r="729">
      <c r="C729" s="28"/>
    </row>
    <row r="730">
      <c r="C730" s="28"/>
    </row>
    <row r="731">
      <c r="C731" s="28"/>
    </row>
    <row r="732">
      <c r="C732" s="28"/>
    </row>
    <row r="733">
      <c r="C733" s="28"/>
    </row>
    <row r="734">
      <c r="C734" s="28"/>
    </row>
    <row r="735">
      <c r="C735" s="28"/>
    </row>
    <row r="736">
      <c r="C736" s="28"/>
    </row>
    <row r="737">
      <c r="C737" s="28"/>
    </row>
    <row r="738">
      <c r="C738" s="28"/>
    </row>
    <row r="739">
      <c r="C739" s="28"/>
    </row>
    <row r="740">
      <c r="C740" s="28"/>
    </row>
    <row r="741">
      <c r="C741" s="28"/>
    </row>
    <row r="742">
      <c r="C742" s="28"/>
    </row>
    <row r="743">
      <c r="C743" s="28"/>
    </row>
    <row r="744">
      <c r="C744" s="28"/>
    </row>
    <row r="745">
      <c r="C745" s="28"/>
    </row>
    <row r="746">
      <c r="C746" s="28"/>
    </row>
    <row r="747">
      <c r="C747" s="28"/>
    </row>
    <row r="748">
      <c r="C748" s="28"/>
    </row>
    <row r="749">
      <c r="C749" s="28"/>
    </row>
    <row r="750">
      <c r="C750" s="28"/>
    </row>
    <row r="751">
      <c r="C751" s="28"/>
    </row>
    <row r="752">
      <c r="C752" s="28"/>
    </row>
    <row r="753">
      <c r="C753" s="28"/>
    </row>
    <row r="754">
      <c r="C754" s="28"/>
    </row>
    <row r="755">
      <c r="C755" s="28"/>
    </row>
    <row r="756">
      <c r="C756" s="28"/>
    </row>
    <row r="757">
      <c r="C757" s="28"/>
    </row>
    <row r="758">
      <c r="C758" s="28"/>
    </row>
    <row r="759">
      <c r="C759" s="28"/>
    </row>
    <row r="760">
      <c r="C760" s="28"/>
    </row>
    <row r="761">
      <c r="C761" s="28"/>
    </row>
    <row r="762">
      <c r="C762" s="28"/>
    </row>
    <row r="763">
      <c r="C763" s="28"/>
    </row>
    <row r="764">
      <c r="C764" s="28"/>
    </row>
    <row r="765">
      <c r="C765" s="28"/>
    </row>
    <row r="766">
      <c r="C766" s="28"/>
    </row>
    <row r="767">
      <c r="C767" s="28"/>
    </row>
    <row r="768">
      <c r="C768" s="28"/>
    </row>
    <row r="769">
      <c r="C769" s="28"/>
    </row>
    <row r="770">
      <c r="C770" s="28"/>
    </row>
    <row r="771">
      <c r="C771" s="28"/>
    </row>
    <row r="772">
      <c r="C772" s="28"/>
    </row>
    <row r="773">
      <c r="C773" s="28"/>
    </row>
    <row r="774">
      <c r="C774" s="28"/>
    </row>
    <row r="775">
      <c r="C775" s="28"/>
    </row>
    <row r="776">
      <c r="C776" s="28"/>
    </row>
    <row r="777">
      <c r="C777" s="28"/>
    </row>
    <row r="778">
      <c r="C778" s="28"/>
    </row>
    <row r="779">
      <c r="C779" s="28"/>
    </row>
    <row r="780">
      <c r="C780" s="28"/>
    </row>
    <row r="781">
      <c r="C781" s="28"/>
    </row>
    <row r="782">
      <c r="C782" s="28"/>
    </row>
    <row r="783">
      <c r="C783" s="28"/>
    </row>
    <row r="784">
      <c r="C784" s="28"/>
    </row>
    <row r="785">
      <c r="C785" s="28"/>
    </row>
    <row r="786">
      <c r="C786" s="28"/>
    </row>
    <row r="787">
      <c r="C787" s="28"/>
    </row>
    <row r="788">
      <c r="C788" s="28"/>
    </row>
    <row r="789">
      <c r="C789" s="28"/>
    </row>
    <row r="790">
      <c r="C790" s="28"/>
    </row>
    <row r="791">
      <c r="C791" s="28"/>
    </row>
    <row r="792">
      <c r="C792" s="28"/>
    </row>
    <row r="793">
      <c r="C793" s="28"/>
    </row>
    <row r="794">
      <c r="C794" s="28"/>
    </row>
    <row r="795">
      <c r="C795" s="28"/>
    </row>
    <row r="796">
      <c r="C796" s="28"/>
    </row>
    <row r="797">
      <c r="C797" s="28"/>
    </row>
    <row r="798">
      <c r="C798" s="28"/>
    </row>
    <row r="799">
      <c r="C799" s="28"/>
    </row>
    <row r="800">
      <c r="C800" s="28"/>
    </row>
    <row r="801">
      <c r="C801" s="28"/>
    </row>
    <row r="802">
      <c r="C802" s="28"/>
    </row>
    <row r="803">
      <c r="C803" s="28"/>
    </row>
    <row r="804">
      <c r="C804" s="28"/>
    </row>
    <row r="805">
      <c r="C805" s="28"/>
    </row>
    <row r="806">
      <c r="C806" s="28"/>
    </row>
    <row r="807">
      <c r="C807" s="28"/>
    </row>
    <row r="808">
      <c r="C808" s="28"/>
    </row>
    <row r="809">
      <c r="C809" s="28"/>
    </row>
    <row r="810">
      <c r="C810" s="28"/>
    </row>
    <row r="811">
      <c r="C811" s="28"/>
    </row>
    <row r="812">
      <c r="C812" s="28"/>
    </row>
    <row r="813">
      <c r="C813" s="28"/>
    </row>
    <row r="814">
      <c r="C814" s="28"/>
    </row>
    <row r="815">
      <c r="C815" s="28"/>
    </row>
    <row r="816">
      <c r="C816" s="28"/>
    </row>
    <row r="817">
      <c r="C817" s="28"/>
    </row>
    <row r="818">
      <c r="C818" s="28"/>
    </row>
    <row r="819">
      <c r="C819" s="28"/>
    </row>
    <row r="820">
      <c r="C820" s="28"/>
    </row>
    <row r="821">
      <c r="C821" s="28"/>
    </row>
    <row r="822">
      <c r="C822" s="28"/>
    </row>
    <row r="823">
      <c r="C823" s="28"/>
    </row>
    <row r="824">
      <c r="C824" s="28"/>
    </row>
    <row r="825">
      <c r="C825" s="28"/>
    </row>
    <row r="826">
      <c r="C826" s="28"/>
    </row>
    <row r="827">
      <c r="C827" s="28"/>
    </row>
    <row r="828">
      <c r="C828" s="28"/>
    </row>
    <row r="829">
      <c r="C829" s="28"/>
    </row>
    <row r="830">
      <c r="C830" s="28"/>
    </row>
    <row r="831">
      <c r="C831" s="28"/>
    </row>
    <row r="832">
      <c r="C832" s="28"/>
    </row>
    <row r="833">
      <c r="C833" s="28"/>
    </row>
    <row r="834">
      <c r="C834" s="28"/>
    </row>
    <row r="835">
      <c r="C835" s="28"/>
    </row>
    <row r="836">
      <c r="C836" s="28"/>
    </row>
    <row r="837">
      <c r="C837" s="28"/>
    </row>
    <row r="838">
      <c r="C838" s="28"/>
    </row>
    <row r="839">
      <c r="C839" s="28"/>
    </row>
    <row r="840">
      <c r="C840" s="28"/>
    </row>
    <row r="841">
      <c r="C841" s="28"/>
    </row>
    <row r="842">
      <c r="C842" s="28"/>
    </row>
    <row r="843">
      <c r="C843" s="28"/>
    </row>
    <row r="844">
      <c r="C844" s="28"/>
    </row>
    <row r="845">
      <c r="C845" s="28"/>
    </row>
    <row r="846">
      <c r="C846" s="28"/>
    </row>
    <row r="847">
      <c r="C847" s="28"/>
    </row>
    <row r="848">
      <c r="C848" s="28"/>
    </row>
    <row r="849">
      <c r="C849" s="28"/>
    </row>
    <row r="850">
      <c r="C850" s="28"/>
    </row>
    <row r="851">
      <c r="C851" s="28"/>
    </row>
    <row r="852">
      <c r="C852" s="28"/>
    </row>
    <row r="853">
      <c r="C853" s="28"/>
    </row>
    <row r="854">
      <c r="C854" s="28"/>
    </row>
    <row r="855">
      <c r="C855" s="28"/>
    </row>
    <row r="856">
      <c r="C856" s="28"/>
    </row>
    <row r="857">
      <c r="C857" s="28"/>
    </row>
    <row r="858">
      <c r="C858" s="28"/>
    </row>
    <row r="859">
      <c r="C859" s="28"/>
    </row>
    <row r="860">
      <c r="C860" s="28"/>
    </row>
    <row r="861">
      <c r="C861" s="28"/>
    </row>
    <row r="862">
      <c r="C862" s="28"/>
    </row>
    <row r="863">
      <c r="C863" s="28"/>
    </row>
    <row r="864">
      <c r="C864" s="28"/>
    </row>
    <row r="865">
      <c r="C865" s="28"/>
    </row>
    <row r="866">
      <c r="C866" s="28"/>
    </row>
    <row r="867">
      <c r="C867" s="28"/>
    </row>
    <row r="868">
      <c r="C868" s="28"/>
    </row>
    <row r="869">
      <c r="C869" s="28"/>
    </row>
    <row r="870">
      <c r="C870" s="28"/>
    </row>
    <row r="871">
      <c r="C871" s="28"/>
    </row>
    <row r="872">
      <c r="C872" s="28"/>
    </row>
    <row r="873">
      <c r="C873" s="28"/>
    </row>
    <row r="874">
      <c r="C874" s="28"/>
    </row>
    <row r="875">
      <c r="C875" s="28"/>
    </row>
    <row r="876">
      <c r="C876" s="28"/>
    </row>
    <row r="877">
      <c r="C877" s="28"/>
    </row>
    <row r="878">
      <c r="C878" s="28"/>
    </row>
    <row r="879">
      <c r="C879" s="28"/>
    </row>
    <row r="880">
      <c r="C880" s="28"/>
    </row>
    <row r="881">
      <c r="C881" s="28"/>
    </row>
    <row r="882">
      <c r="C882" s="28"/>
    </row>
    <row r="883">
      <c r="C883" s="28"/>
    </row>
    <row r="884">
      <c r="C884" s="28"/>
    </row>
    <row r="885">
      <c r="C885" s="28"/>
    </row>
    <row r="886">
      <c r="C886" s="28"/>
    </row>
    <row r="887">
      <c r="C887" s="28"/>
    </row>
    <row r="888">
      <c r="C888" s="28"/>
    </row>
    <row r="889">
      <c r="C889" s="28"/>
    </row>
    <row r="890">
      <c r="C890" s="28"/>
    </row>
    <row r="891">
      <c r="C891" s="28"/>
    </row>
    <row r="892">
      <c r="C892" s="28"/>
    </row>
    <row r="893">
      <c r="C893" s="28"/>
    </row>
    <row r="894">
      <c r="C894" s="28"/>
    </row>
    <row r="895">
      <c r="C895" s="28"/>
    </row>
    <row r="896">
      <c r="C896" s="28"/>
    </row>
    <row r="897">
      <c r="C897" s="28"/>
    </row>
    <row r="898">
      <c r="C898" s="28"/>
    </row>
    <row r="899">
      <c r="C899" s="28"/>
    </row>
    <row r="900">
      <c r="C900" s="28"/>
    </row>
    <row r="901">
      <c r="C901" s="28"/>
    </row>
    <row r="902">
      <c r="C902" s="28"/>
    </row>
    <row r="903">
      <c r="C903" s="28"/>
    </row>
    <row r="904">
      <c r="C904" s="28"/>
    </row>
    <row r="905">
      <c r="C905" s="28"/>
    </row>
    <row r="906">
      <c r="C906" s="28"/>
    </row>
    <row r="907">
      <c r="C907" s="28"/>
    </row>
    <row r="908">
      <c r="C908" s="28"/>
    </row>
    <row r="909">
      <c r="C909" s="28"/>
    </row>
    <row r="910">
      <c r="C910" s="28"/>
    </row>
    <row r="911">
      <c r="C911" s="28"/>
    </row>
    <row r="912">
      <c r="C912" s="28"/>
    </row>
    <row r="913">
      <c r="C913" s="28"/>
    </row>
    <row r="914">
      <c r="C914" s="28"/>
    </row>
    <row r="915">
      <c r="C915" s="28"/>
    </row>
    <row r="916">
      <c r="C916" s="28"/>
    </row>
    <row r="917">
      <c r="C917" s="28"/>
    </row>
    <row r="918">
      <c r="C918" s="28"/>
    </row>
    <row r="919">
      <c r="C919" s="28"/>
    </row>
    <row r="920">
      <c r="C920" s="28"/>
    </row>
    <row r="921">
      <c r="C921" s="28"/>
    </row>
    <row r="922">
      <c r="C922" s="28"/>
    </row>
    <row r="923">
      <c r="C923" s="28"/>
    </row>
    <row r="924">
      <c r="C924" s="28"/>
    </row>
    <row r="925">
      <c r="C925" s="28"/>
    </row>
    <row r="926">
      <c r="C926" s="28"/>
    </row>
    <row r="927">
      <c r="C927" s="28"/>
    </row>
    <row r="928">
      <c r="C928" s="28"/>
    </row>
    <row r="929">
      <c r="C929" s="28"/>
    </row>
    <row r="930">
      <c r="C930" s="28"/>
    </row>
    <row r="931">
      <c r="C931" s="28"/>
    </row>
    <row r="932">
      <c r="C932" s="28"/>
    </row>
    <row r="933">
      <c r="C933" s="28"/>
    </row>
    <row r="934">
      <c r="C934" s="28"/>
    </row>
    <row r="935">
      <c r="C935" s="28"/>
    </row>
    <row r="936">
      <c r="C936" s="28"/>
    </row>
    <row r="937">
      <c r="C937" s="28"/>
    </row>
    <row r="938">
      <c r="C938" s="28"/>
    </row>
    <row r="939">
      <c r="C939" s="28"/>
    </row>
    <row r="940">
      <c r="C940" s="28"/>
    </row>
    <row r="941">
      <c r="C941" s="28"/>
    </row>
    <row r="942">
      <c r="C942" s="28"/>
    </row>
    <row r="943">
      <c r="C943" s="28"/>
    </row>
    <row r="944">
      <c r="C944" s="28"/>
    </row>
    <row r="945">
      <c r="C945" s="28"/>
    </row>
    <row r="946">
      <c r="C946" s="28"/>
    </row>
    <row r="947">
      <c r="C947" s="28"/>
    </row>
    <row r="948">
      <c r="C948" s="28"/>
    </row>
    <row r="949">
      <c r="C949" s="28"/>
    </row>
    <row r="950">
      <c r="C950" s="28"/>
    </row>
    <row r="951">
      <c r="C951" s="28"/>
    </row>
    <row r="952">
      <c r="C952" s="28"/>
    </row>
    <row r="953">
      <c r="C953" s="28"/>
    </row>
    <row r="954">
      <c r="C954" s="28"/>
    </row>
    <row r="955">
      <c r="C955" s="28"/>
    </row>
    <row r="956">
      <c r="C956" s="28"/>
    </row>
    <row r="957">
      <c r="C957" s="28"/>
    </row>
    <row r="958">
      <c r="C958" s="28"/>
    </row>
    <row r="959">
      <c r="C959" s="28"/>
    </row>
    <row r="960">
      <c r="C960" s="28"/>
    </row>
    <row r="961">
      <c r="C961" s="28"/>
    </row>
    <row r="962">
      <c r="C962" s="28"/>
    </row>
    <row r="963">
      <c r="C963" s="28"/>
    </row>
    <row r="964">
      <c r="C964" s="28"/>
    </row>
    <row r="965">
      <c r="C965" s="28"/>
    </row>
    <row r="966">
      <c r="C966" s="28"/>
    </row>
    <row r="967">
      <c r="C967" s="28"/>
    </row>
    <row r="968">
      <c r="C968" s="28"/>
    </row>
    <row r="969">
      <c r="C969" s="28"/>
    </row>
    <row r="970">
      <c r="C970" s="28"/>
    </row>
    <row r="971">
      <c r="C971" s="28"/>
    </row>
    <row r="972">
      <c r="C972" s="28"/>
    </row>
    <row r="973">
      <c r="C973" s="28"/>
    </row>
    <row r="974">
      <c r="C974" s="28"/>
    </row>
    <row r="975">
      <c r="C975" s="28"/>
    </row>
    <row r="976">
      <c r="C976" s="28"/>
    </row>
    <row r="977">
      <c r="C977" s="28"/>
    </row>
    <row r="978">
      <c r="C978" s="28"/>
    </row>
    <row r="979">
      <c r="C979" s="28"/>
    </row>
    <row r="980">
      <c r="C980" s="28"/>
    </row>
    <row r="981">
      <c r="C981" s="28"/>
    </row>
    <row r="982">
      <c r="C982" s="28"/>
    </row>
    <row r="983">
      <c r="C983" s="28"/>
    </row>
    <row r="984">
      <c r="C984" s="28"/>
    </row>
    <row r="985">
      <c r="C985" s="28"/>
    </row>
    <row r="986">
      <c r="C986" s="28"/>
    </row>
    <row r="987">
      <c r="C987" s="28"/>
    </row>
    <row r="988">
      <c r="C988" s="28"/>
    </row>
    <row r="989">
      <c r="C989" s="28"/>
    </row>
    <row r="990">
      <c r="C990" s="28"/>
    </row>
    <row r="991">
      <c r="C991" s="28"/>
    </row>
    <row r="992">
      <c r="C992" s="28"/>
    </row>
    <row r="993">
      <c r="C993" s="28"/>
    </row>
    <row r="994">
      <c r="C994" s="28"/>
    </row>
    <row r="995">
      <c r="C995" s="28"/>
    </row>
    <row r="996">
      <c r="C996" s="28"/>
    </row>
    <row r="997">
      <c r="C997" s="28"/>
    </row>
    <row r="998">
      <c r="C998" s="28"/>
    </row>
    <row r="999">
      <c r="C999" s="28"/>
    </row>
    <row r="1000">
      <c r="C1000" s="2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